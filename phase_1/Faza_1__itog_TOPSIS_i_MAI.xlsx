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sibi\Downloads\"/>
    </mc:Choice>
  </mc:AlternateContent>
  <xr:revisionPtr revIDLastSave="0" documentId="13_ncr:1_{65A8E7F3-2F11-48CD-B915-E6CA8E81B05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Инструкция" sheetId="1" r:id="rId1"/>
    <sheet name="Концепции" sheetId="2" r:id="rId2"/>
    <sheet name="Оценки" sheetId="3" r:id="rId3"/>
    <sheet name="TOPSIS" sheetId="4" r:id="rId4"/>
    <sheet name="МАИ" sheetId="5" r:id="rId5"/>
    <sheet name="Итог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6" i="6"/>
  <c r="B5" i="6"/>
  <c r="B4" i="6"/>
  <c r="B73" i="5"/>
  <c r="B72" i="5"/>
  <c r="B71" i="5"/>
  <c r="B70" i="5"/>
  <c r="F61" i="5"/>
  <c r="E60" i="5"/>
  <c r="E61" i="5" s="1"/>
  <c r="D60" i="5"/>
  <c r="C60" i="5"/>
  <c r="G60" i="5" s="1"/>
  <c r="H60" i="5" s="1"/>
  <c r="F73" i="5" s="1"/>
  <c r="B60" i="5"/>
  <c r="G59" i="5"/>
  <c r="H59" i="5" s="1"/>
  <c r="F72" i="5" s="1"/>
  <c r="D59" i="5"/>
  <c r="D61" i="5" s="1"/>
  <c r="C59" i="5"/>
  <c r="B59" i="5"/>
  <c r="G58" i="5"/>
  <c r="H58" i="5" s="1"/>
  <c r="F71" i="5" s="1"/>
  <c r="C58" i="5"/>
  <c r="C61" i="5" s="1"/>
  <c r="B58" i="5"/>
  <c r="G57" i="5"/>
  <c r="H57" i="5" s="1"/>
  <c r="F70" i="5" s="1"/>
  <c r="B57" i="5"/>
  <c r="F56" i="5"/>
  <c r="E56" i="5"/>
  <c r="D56" i="5"/>
  <c r="C56" i="5"/>
  <c r="E55" i="5"/>
  <c r="F48" i="5"/>
  <c r="G47" i="5"/>
  <c r="H47" i="5" s="1"/>
  <c r="E73" i="5" s="1"/>
  <c r="E47" i="5"/>
  <c r="E48" i="5" s="1"/>
  <c r="D47" i="5"/>
  <c r="C47" i="5"/>
  <c r="B47" i="5"/>
  <c r="G46" i="5"/>
  <c r="H46" i="5" s="1"/>
  <c r="E72" i="5" s="1"/>
  <c r="D46" i="5"/>
  <c r="D48" i="5" s="1"/>
  <c r="C46" i="5"/>
  <c r="B46" i="5"/>
  <c r="G45" i="5"/>
  <c r="H45" i="5" s="1"/>
  <c r="E71" i="5" s="1"/>
  <c r="C45" i="5"/>
  <c r="C48" i="5" s="1"/>
  <c r="C49" i="5" s="1"/>
  <c r="C50" i="5" s="1"/>
  <c r="C51" i="5" s="1"/>
  <c r="D51" i="5" s="1"/>
  <c r="B45" i="5"/>
  <c r="G44" i="5"/>
  <c r="H44" i="5" s="1"/>
  <c r="E70" i="5" s="1"/>
  <c r="B44" i="5"/>
  <c r="F43" i="5"/>
  <c r="E43" i="5"/>
  <c r="D43" i="5"/>
  <c r="C43" i="5"/>
  <c r="E42" i="5"/>
  <c r="F35" i="5"/>
  <c r="E34" i="5"/>
  <c r="E35" i="5" s="1"/>
  <c r="D34" i="5"/>
  <c r="C34" i="5"/>
  <c r="G34" i="5" s="1"/>
  <c r="H34" i="5" s="1"/>
  <c r="D73" i="5" s="1"/>
  <c r="B34" i="5"/>
  <c r="G33" i="5"/>
  <c r="H33" i="5" s="1"/>
  <c r="D72" i="5" s="1"/>
  <c r="D33" i="5"/>
  <c r="D35" i="5" s="1"/>
  <c r="C33" i="5"/>
  <c r="B33" i="5"/>
  <c r="G32" i="5"/>
  <c r="H32" i="5" s="1"/>
  <c r="D71" i="5" s="1"/>
  <c r="C32" i="5"/>
  <c r="C35" i="5" s="1"/>
  <c r="B32" i="5"/>
  <c r="G31" i="5"/>
  <c r="B31" i="5"/>
  <c r="F30" i="5"/>
  <c r="E30" i="5"/>
  <c r="D30" i="5"/>
  <c r="C30" i="5"/>
  <c r="E29" i="5"/>
  <c r="F22" i="5"/>
  <c r="E22" i="5"/>
  <c r="E21" i="5"/>
  <c r="D21" i="5"/>
  <c r="C21" i="5"/>
  <c r="G21" i="5" s="1"/>
  <c r="H21" i="5" s="1"/>
  <c r="C73" i="5" s="1"/>
  <c r="B21" i="5"/>
  <c r="G20" i="5"/>
  <c r="H20" i="5" s="1"/>
  <c r="C72" i="5" s="1"/>
  <c r="D20" i="5"/>
  <c r="D22" i="5" s="1"/>
  <c r="C20" i="5"/>
  <c r="B20" i="5"/>
  <c r="G19" i="5"/>
  <c r="C19" i="5"/>
  <c r="C22" i="5" s="1"/>
  <c r="B19" i="5"/>
  <c r="G18" i="5"/>
  <c r="B18" i="5"/>
  <c r="F17" i="5"/>
  <c r="E17" i="5"/>
  <c r="D17" i="5"/>
  <c r="C17" i="5"/>
  <c r="E16" i="5"/>
  <c r="F10" i="5"/>
  <c r="G9" i="5"/>
  <c r="H9" i="5" s="1"/>
  <c r="F69" i="5" s="1"/>
  <c r="E9" i="5"/>
  <c r="E10" i="5" s="1"/>
  <c r="D9" i="5"/>
  <c r="C9" i="5"/>
  <c r="B9" i="5"/>
  <c r="G8" i="5"/>
  <c r="H8" i="5" s="1"/>
  <c r="E69" i="5" s="1"/>
  <c r="D8" i="5"/>
  <c r="D10" i="5" s="1"/>
  <c r="C8" i="5"/>
  <c r="B8" i="5"/>
  <c r="G7" i="5"/>
  <c r="H7" i="5" s="1"/>
  <c r="D69" i="5" s="1"/>
  <c r="C7" i="5"/>
  <c r="C10" i="5" s="1"/>
  <c r="C11" i="5" s="1"/>
  <c r="C12" i="5" s="1"/>
  <c r="C13" i="5" s="1"/>
  <c r="D13" i="5" s="1"/>
  <c r="B7" i="5"/>
  <c r="G6" i="5"/>
  <c r="H6" i="5" s="1"/>
  <c r="C69" i="5" s="1"/>
  <c r="B6" i="5"/>
  <c r="F5" i="5"/>
  <c r="E5" i="5"/>
  <c r="D5" i="5"/>
  <c r="C5" i="5"/>
  <c r="B38" i="4"/>
  <c r="B37" i="4"/>
  <c r="B36" i="4"/>
  <c r="B35" i="4"/>
  <c r="B29" i="4"/>
  <c r="B28" i="4"/>
  <c r="B27" i="4"/>
  <c r="B26" i="4"/>
  <c r="L24" i="4"/>
  <c r="I24" i="4"/>
  <c r="F24" i="4"/>
  <c r="C24" i="4"/>
  <c r="B21" i="4"/>
  <c r="B20" i="4"/>
  <c r="B19" i="4"/>
  <c r="B18" i="4"/>
  <c r="L16" i="4"/>
  <c r="I16" i="4"/>
  <c r="F16" i="4"/>
  <c r="C16" i="4"/>
  <c r="L11" i="4"/>
  <c r="I11" i="4"/>
  <c r="F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C13" i="4" s="1"/>
  <c r="B8" i="4"/>
  <c r="N7" i="4"/>
  <c r="L12" i="4" s="1"/>
  <c r="M7" i="4"/>
  <c r="L7" i="4"/>
  <c r="L13" i="4" s="1"/>
  <c r="K7" i="4"/>
  <c r="I12" i="4" s="1"/>
  <c r="J7" i="4"/>
  <c r="I7" i="4"/>
  <c r="I13" i="4" s="1"/>
  <c r="H7" i="4"/>
  <c r="F12" i="4" s="1"/>
  <c r="G7" i="4"/>
  <c r="F7" i="4"/>
  <c r="F13" i="4" s="1"/>
  <c r="E7" i="4"/>
  <c r="C12" i="4" s="1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L4" i="4"/>
  <c r="I4" i="4"/>
  <c r="F4" i="4"/>
  <c r="C4" i="4"/>
  <c r="B27" i="3"/>
  <c r="B26" i="3"/>
  <c r="B25" i="3"/>
  <c r="B24" i="3"/>
  <c r="L22" i="3"/>
  <c r="I22" i="3"/>
  <c r="F22" i="3"/>
  <c r="C22" i="3"/>
  <c r="B18" i="3"/>
  <c r="B17" i="3"/>
  <c r="B16" i="3"/>
  <c r="B15" i="3"/>
  <c r="L13" i="3"/>
  <c r="I13" i="3"/>
  <c r="F13" i="3"/>
  <c r="C13" i="3"/>
  <c r="B9" i="3"/>
  <c r="B8" i="3"/>
  <c r="B7" i="3"/>
  <c r="B6" i="3"/>
  <c r="L4" i="3"/>
  <c r="I4" i="3"/>
  <c r="F4" i="3"/>
  <c r="C4" i="3"/>
  <c r="N21" i="4" l="1"/>
  <c r="N29" i="4" s="1"/>
  <c r="M21" i="4"/>
  <c r="M29" i="4" s="1"/>
  <c r="L21" i="4"/>
  <c r="L29" i="4" s="1"/>
  <c r="L19" i="4"/>
  <c r="L27" i="4" s="1"/>
  <c r="M19" i="4"/>
  <c r="M27" i="4" s="1"/>
  <c r="N19" i="4"/>
  <c r="N27" i="4" s="1"/>
  <c r="L18" i="4"/>
  <c r="L26" i="4" s="1"/>
  <c r="M18" i="4"/>
  <c r="M26" i="4" s="1"/>
  <c r="N20" i="4"/>
  <c r="N28" i="4" s="1"/>
  <c r="M20" i="4"/>
  <c r="M28" i="4" s="1"/>
  <c r="L20" i="4"/>
  <c r="L28" i="4" s="1"/>
  <c r="N18" i="4"/>
  <c r="N26" i="4" s="1"/>
  <c r="K19" i="4"/>
  <c r="K27" i="4" s="1"/>
  <c r="J19" i="4"/>
  <c r="J27" i="4" s="1"/>
  <c r="I19" i="4"/>
  <c r="I27" i="4" s="1"/>
  <c r="J18" i="4"/>
  <c r="J26" i="4" s="1"/>
  <c r="I18" i="4"/>
  <c r="I26" i="4" s="1"/>
  <c r="K21" i="4"/>
  <c r="K29" i="4" s="1"/>
  <c r="J21" i="4"/>
  <c r="J29" i="4" s="1"/>
  <c r="I21" i="4"/>
  <c r="I29" i="4" s="1"/>
  <c r="K20" i="4"/>
  <c r="K28" i="4" s="1"/>
  <c r="J20" i="4"/>
  <c r="J28" i="4" s="1"/>
  <c r="I20" i="4"/>
  <c r="I28" i="4" s="1"/>
  <c r="K18" i="4"/>
  <c r="K26" i="4" s="1"/>
  <c r="G19" i="4"/>
  <c r="G27" i="4" s="1"/>
  <c r="F19" i="4"/>
  <c r="F27" i="4" s="1"/>
  <c r="F21" i="4"/>
  <c r="F29" i="4" s="1"/>
  <c r="G20" i="4"/>
  <c r="G28" i="4" s="1"/>
  <c r="H20" i="4"/>
  <c r="H28" i="4" s="1"/>
  <c r="H18" i="4"/>
  <c r="H26" i="4" s="1"/>
  <c r="G18" i="4"/>
  <c r="G26" i="4" s="1"/>
  <c r="F18" i="4"/>
  <c r="F26" i="4" s="1"/>
  <c r="G21" i="4"/>
  <c r="G29" i="4" s="1"/>
  <c r="H21" i="4"/>
  <c r="H29" i="4" s="1"/>
  <c r="F20" i="4"/>
  <c r="F28" i="4" s="1"/>
  <c r="H19" i="4"/>
  <c r="H27" i="4" s="1"/>
  <c r="E19" i="4"/>
  <c r="E27" i="4" s="1"/>
  <c r="D19" i="4"/>
  <c r="D27" i="4" s="1"/>
  <c r="C19" i="4"/>
  <c r="C27" i="4" s="1"/>
  <c r="C21" i="4"/>
  <c r="C29" i="4" s="1"/>
  <c r="D21" i="4"/>
  <c r="D29" i="4" s="1"/>
  <c r="E21" i="4"/>
  <c r="E29" i="4" s="1"/>
  <c r="E18" i="4"/>
  <c r="E26" i="4" s="1"/>
  <c r="D18" i="4"/>
  <c r="D26" i="4" s="1"/>
  <c r="C18" i="4"/>
  <c r="C26" i="4" s="1"/>
  <c r="E20" i="4"/>
  <c r="E28" i="4" s="1"/>
  <c r="D20" i="4"/>
  <c r="D28" i="4" s="1"/>
  <c r="C20" i="4"/>
  <c r="C28" i="4" s="1"/>
  <c r="C62" i="5"/>
  <c r="C63" i="5" s="1"/>
  <c r="C64" i="5" s="1"/>
  <c r="D64" i="5" s="1"/>
  <c r="H31" i="5"/>
  <c r="G73" i="5"/>
  <c r="H19" i="5"/>
  <c r="C71" i="5" s="1"/>
  <c r="G71" i="5" s="1"/>
  <c r="H18" i="5"/>
  <c r="G72" i="5"/>
  <c r="L31" i="4" l="1"/>
  <c r="M31" i="4"/>
  <c r="N31" i="4"/>
  <c r="K35" i="4" s="1"/>
  <c r="K37" i="4"/>
  <c r="L30" i="4"/>
  <c r="M30" i="4"/>
  <c r="N30" i="4"/>
  <c r="I31" i="4"/>
  <c r="J36" i="4" s="1"/>
  <c r="J31" i="4"/>
  <c r="K31" i="4"/>
  <c r="J35" i="4"/>
  <c r="J38" i="4"/>
  <c r="J37" i="4"/>
  <c r="I30" i="4"/>
  <c r="J30" i="4"/>
  <c r="K30" i="4"/>
  <c r="D36" i="4"/>
  <c r="F30" i="4"/>
  <c r="D38" i="4" s="1"/>
  <c r="G30" i="4"/>
  <c r="H30" i="4"/>
  <c r="F31" i="4"/>
  <c r="G31" i="4"/>
  <c r="H31" i="4"/>
  <c r="D35" i="4"/>
  <c r="I35" i="4"/>
  <c r="D37" i="4"/>
  <c r="I37" i="4"/>
  <c r="C36" i="4"/>
  <c r="H36" i="4"/>
  <c r="C38" i="4"/>
  <c r="H38" i="4"/>
  <c r="C30" i="4"/>
  <c r="D30" i="4"/>
  <c r="E30" i="4"/>
  <c r="C31" i="4"/>
  <c r="D31" i="4"/>
  <c r="E31" i="4"/>
  <c r="C35" i="4"/>
  <c r="H35" i="4"/>
  <c r="C37" i="4"/>
  <c r="H37" i="4"/>
  <c r="C36" i="5"/>
  <c r="C37" i="5" s="1"/>
  <c r="C38" i="5" s="1"/>
  <c r="D38" i="5" s="1"/>
  <c r="D70" i="5"/>
  <c r="E7" i="6"/>
  <c r="H73" i="5"/>
  <c r="F7" i="6" s="1"/>
  <c r="E5" i="6"/>
  <c r="H71" i="5"/>
  <c r="F5" i="6" s="1"/>
  <c r="C23" i="5"/>
  <c r="C24" i="5" s="1"/>
  <c r="C25" i="5" s="1"/>
  <c r="D25" i="5" s="1"/>
  <c r="C70" i="5"/>
  <c r="G70" i="5" s="1"/>
  <c r="E6" i="6"/>
  <c r="H72" i="5"/>
  <c r="F6" i="6" s="1"/>
  <c r="E4" i="6" l="1"/>
  <c r="H70" i="5"/>
  <c r="F4" i="6" s="1"/>
  <c r="L35" i="4"/>
  <c r="L37" i="4"/>
  <c r="K38" i="4"/>
  <c r="K36" i="4"/>
  <c r="F38" i="4"/>
  <c r="F36" i="4"/>
  <c r="F35" i="4"/>
  <c r="F37" i="4"/>
  <c r="E38" i="4"/>
  <c r="G38" i="4" s="1"/>
  <c r="E37" i="4"/>
  <c r="G37" i="4" s="1"/>
  <c r="E36" i="4"/>
  <c r="G36" i="4" s="1"/>
  <c r="E35" i="4"/>
  <c r="G35" i="4" s="1"/>
  <c r="I36" i="4"/>
  <c r="I38" i="4"/>
  <c r="C11" i="6" l="1"/>
  <c r="M37" i="4"/>
  <c r="L36" i="4"/>
  <c r="M36" i="4" s="1"/>
  <c r="L38" i="4"/>
  <c r="M38" i="4" s="1"/>
  <c r="M35" i="4"/>
  <c r="N37" i="4" l="1"/>
  <c r="D6" i="6" s="1"/>
  <c r="G6" i="6" s="1"/>
  <c r="C6" i="6"/>
  <c r="N36" i="4"/>
  <c r="D5" i="6" s="1"/>
  <c r="G5" i="6" s="1"/>
  <c r="C5" i="6"/>
  <c r="N38" i="4"/>
  <c r="D7" i="6" s="1"/>
  <c r="G7" i="6" s="1"/>
  <c r="C7" i="6"/>
  <c r="N35" i="4"/>
  <c r="D4" i="6" s="1"/>
  <c r="G4" i="6" s="1"/>
  <c r="C4" i="6"/>
  <c r="C10" i="6" s="1"/>
  <c r="C12" i="6" s="1"/>
  <c r="C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Фаза 1</author>
  </authors>
  <commentList>
    <comment ref="C1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Случайный индекс СИ для n = 4 по таблице Саати: 0,90</t>
        </r>
      </text>
    </comment>
    <comment ref="C2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Случайный индекс СИ для n = 4 по таблице Саати: 0,90</t>
        </r>
      </text>
    </comment>
    <comment ref="C38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Случайный индекс СИ для n = 4 по таблице Саати: 0,90</t>
        </r>
      </text>
    </comment>
    <comment ref="C5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Случайный индекс СИ для n = 4 по таблице Саати: 0,90</t>
        </r>
      </text>
    </comment>
    <comment ref="C6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Случайный индекс СИ для n = 4 по таблице Саати: 0,90</t>
        </r>
      </text>
    </comment>
  </commentList>
</comments>
</file>

<file path=xl/sharedStrings.xml><?xml version="1.0" encoding="utf-8"?>
<sst xmlns="http://schemas.openxmlformats.org/spreadsheetml/2006/main" count="286" uniqueCount="116">
  <si>
    <t>Фаза 1 — выбор концепции проекта (нечёткий коллективный TOPSIS и МАИ)</t>
  </si>
  <si>
    <t>Что заполнять (синий шрифт на жёлтом фоне):</t>
  </si>
  <si>
    <t>1. «Концепции» — названия и описания 4 концепций и 4 критериев; тип критерия: max (чем больше, тем лучше) или min (чем меньше, тем лучше).</t>
  </si>
  <si>
    <t>2. «Оценки» — у каждого эксперта: оценка каждой концепции по каждому критерию тройкой (l — пессимистичная, m — наиболее ожидаемая, u — оптимистичная), шкала 1–10; строка «Вес критерия» — тройка на шкале 0–1. Должно выполняться l ≤ m ≤ u.</t>
  </si>
  <si>
    <t>3. «МАИ» — только верхний треугольник матриц парных сравнений по шкале Саати (1, 3, 5, 7, 9 и промежуточные; 1/3 и т. п. — если столбец важнее строки). Нижний треугольник считается сам.</t>
  </si>
  <si>
    <t xml:space="preserve">   Для критериев типа min в матрицах сравнения концепций ставьте предпочтение: дешевле/проще = лучше.</t>
  </si>
  <si>
    <t>Всё остальное — формулы (чёрный шрифт), пересчитываются автоматически. Итоги — на листе «Итог».</t>
  </si>
  <si>
    <t>Метод TOPSIS (нечёткий, коллективный):</t>
  </si>
  <si>
    <t>• Агрегирование оценок экспертов: l = MIN(l_k), m = СРЗНАЧ(m_k), u = MAX(u_k); так же для весов.</t>
  </si>
  <si>
    <t>• Нормализация: для max — (l/u*, m/u*, u/u*), u* = максимум u по критерию; для min — (l⁻/u, l⁻/m, l⁻/l), l⁻ = минимум l.</t>
  </si>
  <si>
    <t>• Взвешенная матрица: v = r ⊗ w (покомпонентное произведение троек).</t>
  </si>
  <si>
    <t>• Идеальное решение A* = (max u, max u, max u), антиидеальное A⁻ = (min l, min l, min l) по каждому критерию.</t>
  </si>
  <si>
    <t>• Расстояние между тройками: d(a,b) = √(((a1−b1)² + (a2−b2)² + (a3−b3)²) / 3); D* и D⁻ — суммы по критериям.</t>
  </si>
  <si>
    <t>• Коэффициент близости CC = D⁻ / (D* + D⁻); лучшая концепция — с максимальным CC.</t>
  </si>
  <si>
    <t>Метод анализа иерархий (МАИ):</t>
  </si>
  <si>
    <t>• Иерархия: цель (выбор концепции) → 4 критерия → 4 концепции.</t>
  </si>
  <si>
    <t>• Веса — нормированные средние геометрические строк матрицы; λmax = Σ (сумма столбца × вес).</t>
  </si>
  <si>
    <t>• ИС = (λmax − n)/(n − 1), СИ для n = 4 равен 0,90, ОС = ИС/СИ; матрица согласована при ОС ≤ 0,10.</t>
  </si>
  <si>
    <t>• Глобальный приоритет концепции = Σ (вес критерия × локальный приоритет концепции по критерию).</t>
  </si>
  <si>
    <t>Концепции и критерии</t>
  </si>
  <si>
    <t>Код</t>
  </si>
  <si>
    <t>Концепция</t>
  </si>
  <si>
    <t>Описание</t>
  </si>
  <si>
    <t>A1</t>
  </si>
  <si>
    <t>A2</t>
  </si>
  <si>
    <t>A3</t>
  </si>
  <si>
    <t>A4</t>
  </si>
  <si>
    <t>Критерий</t>
  </si>
  <si>
    <t>Тип (max/min)</t>
  </si>
  <si>
    <t>Экспертные оценки: нечёткие трёхточечные числа (l, m, u)</t>
  </si>
  <si>
    <t>Эксперт 1</t>
  </si>
  <si>
    <t>l</t>
  </si>
  <si>
    <t>m</t>
  </si>
  <si>
    <t>u</t>
  </si>
  <si>
    <t>w</t>
  </si>
  <si>
    <t>Эксперт 2</t>
  </si>
  <si>
    <t>Эксперт 3</t>
  </si>
  <si>
    <t>Нечёткий коллективный метод TOPSIS</t>
  </si>
  <si>
    <t>1. Агрегированная матрица (l = MIN, m = СРЗНАЧ, u = MAX по экспертам)</t>
  </si>
  <si>
    <t>Агрегированный вес</t>
  </si>
  <si>
    <t>Тип критерия</t>
  </si>
  <si>
    <t>u* = max u</t>
  </si>
  <si>
    <t>l⁻ = min l</t>
  </si>
  <si>
    <t>2. Нормализованная матрица</t>
  </si>
  <si>
    <t>3. Взвешенная нормализованная матрица v = r ⊗ w</t>
  </si>
  <si>
    <t>A*</t>
  </si>
  <si>
    <t>Идеальное решение</t>
  </si>
  <si>
    <t>A⁻</t>
  </si>
  <si>
    <t>Антиидеальное решение</t>
  </si>
  <si>
    <t>4. Расстояния до A* и A⁻, коэффициент близости</t>
  </si>
  <si>
    <t>D*</t>
  </si>
  <si>
    <t>D⁻</t>
  </si>
  <si>
    <t>CC</t>
  </si>
  <si>
    <t>Ранг</t>
  </si>
  <si>
    <t>Метод анализа иерархий (шкала Саати)</t>
  </si>
  <si>
    <t>Критерии: парные сравнения важности</t>
  </si>
  <si>
    <t>Ср. геом.</t>
  </si>
  <si>
    <t>Вес</t>
  </si>
  <si>
    <t>Сумма столбца</t>
  </si>
  <si>
    <t>λmax</t>
  </si>
  <si>
    <t>ИС = (λmax−n)/(n−1)</t>
  </si>
  <si>
    <t>ОС = ИС / СИ (СИ = 0,90)</t>
  </si>
  <si>
    <t>Синтез: глобальные приоритеты</t>
  </si>
  <si>
    <t>Глобальный приоритет</t>
  </si>
  <si>
    <t>Итог фазы 1</t>
  </si>
  <si>
    <t>TOPSIS: CC</t>
  </si>
  <si>
    <t>TOPSIS: ранг</t>
  </si>
  <si>
    <t>МАИ: приоритет</t>
  </si>
  <si>
    <t>МАИ: ранг</t>
  </si>
  <si>
    <t>Сумма рангов</t>
  </si>
  <si>
    <t>Лучшая по TOPSIS</t>
  </si>
  <si>
    <t>Лучшая по МАИ</t>
  </si>
  <si>
    <t>Методы согласны?</t>
  </si>
  <si>
    <t>Система управления командными задачами и рабочими процессами</t>
  </si>
  <si>
    <t>Сервис для совместного ведения проектов: распределения задач, контроля сроков и отслеживания рабочих процессов команды.</t>
  </si>
  <si>
    <t>Система персонального и семейного финансового учёта</t>
  </si>
  <si>
    <t>Приложение для учёта личных и семейных доходов и расходов, планирования бюджета и анализа трат.</t>
  </si>
  <si>
    <t>Система онлайн-бронирования услуг и управления записями</t>
  </si>
  <si>
    <t>Сервис для выбора услуги и свободного времени, бронирования записи и управления расписанием исполнителя.</t>
  </si>
  <si>
    <t>Система планирования тренировок и отслеживания физической активности</t>
  </si>
  <si>
    <t>Приложение для составления планов тренировок, записи выполненных упражнений и отслеживания активности и прогресса.</t>
  </si>
  <si>
    <t>Экономические результаты</t>
  </si>
  <si>
    <t>K1</t>
  </si>
  <si>
    <t>Пользовательская ценность</t>
  </si>
  <si>
    <t>max</t>
  </si>
  <si>
    <t>Выгоды (benefits)</t>
  </si>
  <si>
    <t>K2</t>
  </si>
  <si>
    <t>Широта целевой аудитории</t>
  </si>
  <si>
    <t>K3</t>
  </si>
  <si>
    <t>Сложность освоения продукта</t>
  </si>
  <si>
    <t>min</t>
  </si>
  <si>
    <t>Затраты (costs)</t>
  </si>
  <si>
    <t>K4</t>
  </si>
  <si>
    <t>Количество действий для выполнения основных сценариев</t>
  </si>
  <si>
    <t>Источник:</t>
  </si>
  <si>
    <t>https://github.com/kostikbezopasnost/project_management/blob/main/phase_1/concepts/README.md</t>
  </si>
  <si>
    <t>Золотухин Константин. В.</t>
  </si>
  <si>
    <t>Вес критерия (0–1)</t>
  </si>
  <si>
    <t>Сибирко Олег. В.</t>
  </si>
  <si>
    <t>Богданов Андрей Д.</t>
  </si>
  <si>
    <t>d*(K1)</t>
  </si>
  <si>
    <t>d*(K2)</t>
  </si>
  <si>
    <t>d*(K3)</t>
  </si>
  <si>
    <t>d*(K4)</t>
  </si>
  <si>
    <t>d⁻(K1)</t>
  </si>
  <si>
    <t>d⁻(K2)</t>
  </si>
  <si>
    <t>d⁻(K3)</t>
  </si>
  <si>
    <t>d⁻(K4)</t>
  </si>
  <si>
    <t>Иерархия: цель «Выбор концепции проекта» → критерии K1–K4 → концепции A1–A4. Заполняется только верхний треугольник.</t>
  </si>
  <si>
    <t>Коллективное правило: средние m трёх экспертов; для K3–K4 меньшее значение лучше; сила предпочтения = 1 + округлённая разница, максимум 9.</t>
  </si>
  <si>
    <t>Концепции по критерию K1</t>
  </si>
  <si>
    <t>Концепции по критерию K2</t>
  </si>
  <si>
    <t>Концепции по критерию K3</t>
  </si>
  <si>
    <t>Концепции по критерию K4</t>
  </si>
  <si>
    <t>Лучшая по сумме рангов</t>
  </si>
  <si>
    <t>Оценки всех трёх экспертов — из переписки. Веса предложены для расчёта. Парные сравнения МАИ сформированы из средних m и приняты командой.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</si>
</sst>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Arial"/>
    </font>
    <font>
      <b/>
      <sz val="11"/>
      <color rgb="FFC00000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008000"/>
      <name val="Arial"/>
    </font>
    <font>
      <sz val="11"/>
      <color rgb="FF008000"/>
      <name val="Arial"/>
    </font>
    <font>
      <i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165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3" xfId="0" applyBorder="1"/>
    <xf numFmtId="0" fontId="4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790575</xdr:colOff>
      <xdr:row>28</xdr:row>
      <xdr:rowOff>114300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6FEF5E2-38AD-FEF2-FB87-C74F714924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1" sqref="A11"/>
    </sheetView>
  </sheetViews>
  <sheetFormatPr defaultRowHeight="15" x14ac:dyDescent="0.25"/>
  <cols>
    <col min="1" max="1" width="15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3" t="s">
        <v>115</v>
      </c>
    </row>
    <row r="4" spans="1:1" x14ac:dyDescent="0.25">
      <c r="A4" s="2"/>
    </row>
    <row r="5" spans="1:1" x14ac:dyDescent="0.25">
      <c r="A5" s="4" t="s">
        <v>1</v>
      </c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/>
    </row>
    <row r="11" spans="1:1" x14ac:dyDescent="0.25">
      <c r="A11" s="2" t="s">
        <v>6</v>
      </c>
    </row>
    <row r="12" spans="1:1" x14ac:dyDescent="0.25">
      <c r="A12" s="2"/>
    </row>
    <row r="13" spans="1:1" x14ac:dyDescent="0.25">
      <c r="A13" s="4" t="s">
        <v>7</v>
      </c>
    </row>
    <row r="14" spans="1:1" x14ac:dyDescent="0.25">
      <c r="A14" s="2" t="s">
        <v>8</v>
      </c>
    </row>
    <row r="15" spans="1:1" x14ac:dyDescent="0.25">
      <c r="A15" s="2" t="s">
        <v>9</v>
      </c>
    </row>
    <row r="16" spans="1:1" x14ac:dyDescent="0.25">
      <c r="A16" s="2" t="s">
        <v>10</v>
      </c>
    </row>
    <row r="17" spans="1:1" x14ac:dyDescent="0.25">
      <c r="A17" s="2" t="s">
        <v>11</v>
      </c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2"/>
    </row>
    <row r="21" spans="1:1" x14ac:dyDescent="0.25">
      <c r="A21" s="4" t="s">
        <v>14</v>
      </c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19" sqref="B19"/>
    </sheetView>
  </sheetViews>
  <sheetFormatPr defaultRowHeight="15" x14ac:dyDescent="0.25"/>
  <cols>
    <col min="1" max="1" width="12" customWidth="1"/>
    <col min="2" max="2" width="62" customWidth="1"/>
    <col min="3" max="3" width="16" customWidth="1"/>
    <col min="4" max="4" width="28" customWidth="1"/>
  </cols>
  <sheetData>
    <row r="1" spans="1:4" ht="16.5" x14ac:dyDescent="0.25">
      <c r="A1" s="1" t="s">
        <v>19</v>
      </c>
    </row>
    <row r="3" spans="1:4" x14ac:dyDescent="0.25">
      <c r="A3" s="5" t="s">
        <v>20</v>
      </c>
      <c r="B3" s="5" t="s">
        <v>21</v>
      </c>
      <c r="C3" s="33" t="s">
        <v>22</v>
      </c>
      <c r="D3" s="34"/>
    </row>
    <row r="4" spans="1:4" ht="45.95" customHeight="1" x14ac:dyDescent="0.25">
      <c r="A4" s="26" t="s">
        <v>23</v>
      </c>
      <c r="B4" s="27" t="s">
        <v>73</v>
      </c>
      <c r="C4" s="31" t="s">
        <v>74</v>
      </c>
      <c r="D4" s="32"/>
    </row>
    <row r="5" spans="1:4" ht="45.95" customHeight="1" x14ac:dyDescent="0.25">
      <c r="A5" s="26" t="s">
        <v>24</v>
      </c>
      <c r="B5" s="27" t="s">
        <v>75</v>
      </c>
      <c r="C5" s="31" t="s">
        <v>76</v>
      </c>
      <c r="D5" s="32"/>
    </row>
    <row r="6" spans="1:4" ht="45.95" customHeight="1" x14ac:dyDescent="0.25">
      <c r="A6" s="26" t="s">
        <v>25</v>
      </c>
      <c r="B6" s="27" t="s">
        <v>77</v>
      </c>
      <c r="C6" s="31" t="s">
        <v>78</v>
      </c>
      <c r="D6" s="32"/>
    </row>
    <row r="7" spans="1:4" ht="70.5" customHeight="1" x14ac:dyDescent="0.25">
      <c r="A7" s="26" t="s">
        <v>26</v>
      </c>
      <c r="B7" s="27" t="s">
        <v>79</v>
      </c>
      <c r="C7" s="31" t="s">
        <v>80</v>
      </c>
      <c r="D7" s="32"/>
    </row>
    <row r="8" spans="1:4" x14ac:dyDescent="0.25">
      <c r="A8" s="29"/>
      <c r="B8" s="29"/>
      <c r="C8" s="29"/>
      <c r="D8" s="29"/>
    </row>
    <row r="9" spans="1:4" x14ac:dyDescent="0.25">
      <c r="A9" s="29"/>
      <c r="B9" s="29"/>
      <c r="C9" s="29"/>
      <c r="D9" s="29"/>
    </row>
    <row r="10" spans="1:4" ht="30" x14ac:dyDescent="0.25">
      <c r="A10" s="5" t="s">
        <v>20</v>
      </c>
      <c r="B10" s="5" t="s">
        <v>27</v>
      </c>
      <c r="C10" s="5" t="s">
        <v>28</v>
      </c>
      <c r="D10" s="5" t="s">
        <v>81</v>
      </c>
    </row>
    <row r="11" spans="1:4" ht="33.950000000000003" customHeight="1" x14ac:dyDescent="0.25">
      <c r="A11" s="26" t="s">
        <v>82</v>
      </c>
      <c r="B11" s="27" t="s">
        <v>83</v>
      </c>
      <c r="C11" s="8" t="s">
        <v>84</v>
      </c>
      <c r="D11" s="28" t="s">
        <v>85</v>
      </c>
    </row>
    <row r="12" spans="1:4" ht="33.950000000000003" customHeight="1" x14ac:dyDescent="0.25">
      <c r="A12" s="26" t="s">
        <v>86</v>
      </c>
      <c r="B12" s="27" t="s">
        <v>87</v>
      </c>
      <c r="C12" s="8" t="s">
        <v>84</v>
      </c>
      <c r="D12" s="28" t="s">
        <v>85</v>
      </c>
    </row>
    <row r="13" spans="1:4" ht="33.950000000000003" customHeight="1" x14ac:dyDescent="0.25">
      <c r="A13" s="26" t="s">
        <v>88</v>
      </c>
      <c r="B13" s="27" t="s">
        <v>89</v>
      </c>
      <c r="C13" s="8" t="s">
        <v>90</v>
      </c>
      <c r="D13" s="28" t="s">
        <v>91</v>
      </c>
    </row>
    <row r="14" spans="1:4" ht="33.950000000000003" customHeight="1" x14ac:dyDescent="0.25">
      <c r="A14" s="26" t="s">
        <v>92</v>
      </c>
      <c r="B14" s="27" t="s">
        <v>93</v>
      </c>
      <c r="C14" s="8" t="s">
        <v>90</v>
      </c>
      <c r="D14" s="28" t="s">
        <v>91</v>
      </c>
    </row>
    <row r="16" spans="1:4" x14ac:dyDescent="0.25">
      <c r="A16" t="s">
        <v>94</v>
      </c>
      <c r="B16" t="s">
        <v>95</v>
      </c>
    </row>
  </sheetData>
  <mergeCells count="5">
    <mergeCell ref="C6:D6"/>
    <mergeCell ref="C7:D7"/>
    <mergeCell ref="C5:D5"/>
    <mergeCell ref="C3:D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workbookViewId="0"/>
  </sheetViews>
  <sheetFormatPr defaultRowHeight="15" x14ac:dyDescent="0.25"/>
  <cols>
    <col min="1" max="1" width="12" customWidth="1"/>
    <col min="2" max="2" width="55" customWidth="1"/>
    <col min="3" max="14" width="8" customWidth="1"/>
  </cols>
  <sheetData>
    <row r="1" spans="1:14" ht="16.5" x14ac:dyDescent="0.25">
      <c r="A1" s="1" t="s">
        <v>29</v>
      </c>
    </row>
    <row r="3" spans="1:14" x14ac:dyDescent="0.25">
      <c r="A3" s="4" t="s">
        <v>30</v>
      </c>
      <c r="B3" s="7" t="s">
        <v>96</v>
      </c>
    </row>
    <row r="4" spans="1:14" x14ac:dyDescent="0.25">
      <c r="A4" s="9"/>
      <c r="B4" s="5" t="s">
        <v>21</v>
      </c>
      <c r="C4" s="35" t="str">
        <f>Концепции!$B$11</f>
        <v>Пользовательская ценность</v>
      </c>
      <c r="D4" s="36"/>
      <c r="E4" s="36"/>
      <c r="F4" s="35" t="str">
        <f>Концепции!$B$12</f>
        <v>Широта целевой аудитории</v>
      </c>
      <c r="G4" s="36"/>
      <c r="H4" s="36"/>
      <c r="I4" s="35" t="str">
        <f>Концепции!$B$13</f>
        <v>Сложность освоения продукта</v>
      </c>
      <c r="J4" s="36"/>
      <c r="K4" s="36"/>
      <c r="L4" s="35" t="str">
        <f>Концепции!$B$14</f>
        <v>Количество действий для выполнения основных сценариев</v>
      </c>
      <c r="M4" s="36"/>
      <c r="N4" s="36"/>
    </row>
    <row r="5" spans="1:14" x14ac:dyDescent="0.25">
      <c r="A5" s="9"/>
      <c r="B5" s="9"/>
      <c r="C5" s="5" t="s">
        <v>31</v>
      </c>
      <c r="D5" s="5" t="s">
        <v>32</v>
      </c>
      <c r="E5" s="5" t="s">
        <v>33</v>
      </c>
      <c r="F5" s="5" t="s">
        <v>31</v>
      </c>
      <c r="G5" s="5" t="s">
        <v>32</v>
      </c>
      <c r="H5" s="5" t="s">
        <v>33</v>
      </c>
      <c r="I5" s="5" t="s">
        <v>31</v>
      </c>
      <c r="J5" s="5" t="s">
        <v>32</v>
      </c>
      <c r="K5" s="5" t="s">
        <v>33</v>
      </c>
      <c r="L5" s="5" t="s">
        <v>31</v>
      </c>
      <c r="M5" s="5" t="s">
        <v>32</v>
      </c>
      <c r="N5" s="5" t="s">
        <v>33</v>
      </c>
    </row>
    <row r="6" spans="1:14" ht="33.950000000000003" customHeight="1" x14ac:dyDescent="0.25">
      <c r="A6" s="6" t="s">
        <v>23</v>
      </c>
      <c r="B6" s="30" t="str">
        <f>Концепции!$B$4</f>
        <v>Система управления командными задачами и рабочими процессами</v>
      </c>
      <c r="C6" s="10">
        <v>5</v>
      </c>
      <c r="D6" s="10">
        <v>8</v>
      </c>
      <c r="E6" s="10">
        <v>9</v>
      </c>
      <c r="F6" s="10">
        <v>8</v>
      </c>
      <c r="G6" s="10">
        <v>9</v>
      </c>
      <c r="H6" s="10">
        <v>10</v>
      </c>
      <c r="I6" s="10">
        <v>5</v>
      </c>
      <c r="J6" s="10">
        <v>6</v>
      </c>
      <c r="K6" s="10">
        <v>7</v>
      </c>
      <c r="L6" s="10">
        <v>5</v>
      </c>
      <c r="M6" s="10">
        <v>7</v>
      </c>
      <c r="N6" s="10">
        <v>8</v>
      </c>
    </row>
    <row r="7" spans="1:14" ht="33.950000000000003" customHeight="1" x14ac:dyDescent="0.25">
      <c r="A7" s="6" t="s">
        <v>24</v>
      </c>
      <c r="B7" s="30" t="str">
        <f>Концепции!$B$5</f>
        <v>Система персонального и семейного финансового учёта</v>
      </c>
      <c r="C7" s="10">
        <v>8</v>
      </c>
      <c r="D7" s="10">
        <v>9</v>
      </c>
      <c r="E7" s="10">
        <v>10</v>
      </c>
      <c r="F7" s="10">
        <v>8</v>
      </c>
      <c r="G7" s="10">
        <v>9</v>
      </c>
      <c r="H7" s="10">
        <v>10</v>
      </c>
      <c r="I7" s="10">
        <v>5</v>
      </c>
      <c r="J7" s="10">
        <v>6</v>
      </c>
      <c r="K7" s="10">
        <v>7</v>
      </c>
      <c r="L7" s="10">
        <v>6</v>
      </c>
      <c r="M7" s="10">
        <v>7</v>
      </c>
      <c r="N7" s="10">
        <v>8</v>
      </c>
    </row>
    <row r="8" spans="1:14" ht="33.950000000000003" customHeight="1" x14ac:dyDescent="0.25">
      <c r="A8" s="6" t="s">
        <v>25</v>
      </c>
      <c r="B8" s="30" t="str">
        <f>Концепции!$B$6</f>
        <v>Система онлайн-бронирования услуг и управления записями</v>
      </c>
      <c r="C8" s="10">
        <v>7</v>
      </c>
      <c r="D8" s="10">
        <v>8</v>
      </c>
      <c r="E8" s="10">
        <v>9</v>
      </c>
      <c r="F8" s="10">
        <v>8</v>
      </c>
      <c r="G8" s="10">
        <v>9</v>
      </c>
      <c r="H8" s="10">
        <v>10</v>
      </c>
      <c r="I8" s="10">
        <v>4</v>
      </c>
      <c r="J8" s="10">
        <v>5</v>
      </c>
      <c r="K8" s="10">
        <v>7</v>
      </c>
      <c r="L8" s="10">
        <v>4</v>
      </c>
      <c r="M8" s="10">
        <v>5</v>
      </c>
      <c r="N8" s="10">
        <v>6</v>
      </c>
    </row>
    <row r="9" spans="1:14" ht="33.950000000000003" customHeight="1" x14ac:dyDescent="0.25">
      <c r="A9" s="6" t="s">
        <v>26</v>
      </c>
      <c r="B9" s="30" t="str">
        <f>Концепции!$B$7</f>
        <v>Система планирования тренировок и отслеживания физической активности</v>
      </c>
      <c r="C9" s="10">
        <v>8</v>
      </c>
      <c r="D9" s="10">
        <v>9</v>
      </c>
      <c r="E9" s="10">
        <v>10</v>
      </c>
      <c r="F9" s="10">
        <v>7</v>
      </c>
      <c r="G9" s="10">
        <v>8</v>
      </c>
      <c r="H9" s="10">
        <v>9</v>
      </c>
      <c r="I9" s="10">
        <v>4</v>
      </c>
      <c r="J9" s="10">
        <v>5</v>
      </c>
      <c r="K9" s="10">
        <v>6</v>
      </c>
      <c r="L9" s="10">
        <v>5</v>
      </c>
      <c r="M9" s="10">
        <v>6</v>
      </c>
      <c r="N9" s="10">
        <v>7</v>
      </c>
    </row>
    <row r="10" spans="1:14" x14ac:dyDescent="0.25">
      <c r="A10" s="6" t="s">
        <v>34</v>
      </c>
      <c r="B10" s="6" t="s">
        <v>97</v>
      </c>
      <c r="C10" s="11">
        <v>0.8</v>
      </c>
      <c r="D10" s="11">
        <v>0.9</v>
      </c>
      <c r="E10" s="11">
        <v>1</v>
      </c>
      <c r="F10" s="11">
        <v>0.8</v>
      </c>
      <c r="G10" s="11">
        <v>0.9</v>
      </c>
      <c r="H10" s="11">
        <v>1</v>
      </c>
      <c r="I10" s="11">
        <v>0.7</v>
      </c>
      <c r="J10" s="11">
        <v>0.8</v>
      </c>
      <c r="K10" s="11">
        <v>0.9</v>
      </c>
      <c r="L10" s="11">
        <v>0.5</v>
      </c>
      <c r="M10" s="11">
        <v>0.6</v>
      </c>
      <c r="N10" s="11">
        <v>0.7</v>
      </c>
    </row>
    <row r="12" spans="1:14" x14ac:dyDescent="0.25">
      <c r="A12" s="4" t="s">
        <v>35</v>
      </c>
      <c r="B12" s="7" t="s">
        <v>98</v>
      </c>
    </row>
    <row r="13" spans="1:14" x14ac:dyDescent="0.25">
      <c r="A13" s="9"/>
      <c r="B13" s="5" t="s">
        <v>21</v>
      </c>
      <c r="C13" s="35" t="str">
        <f>Концепции!$B$11</f>
        <v>Пользовательская ценность</v>
      </c>
      <c r="D13" s="36"/>
      <c r="E13" s="36"/>
      <c r="F13" s="35" t="str">
        <f>Концепции!$B$12</f>
        <v>Широта целевой аудитории</v>
      </c>
      <c r="G13" s="36"/>
      <c r="H13" s="36"/>
      <c r="I13" s="35" t="str">
        <f>Концепции!$B$13</f>
        <v>Сложность освоения продукта</v>
      </c>
      <c r="J13" s="36"/>
      <c r="K13" s="36"/>
      <c r="L13" s="35" t="str">
        <f>Концепции!$B$14</f>
        <v>Количество действий для выполнения основных сценариев</v>
      </c>
      <c r="M13" s="36"/>
      <c r="N13" s="36"/>
    </row>
    <row r="14" spans="1:14" x14ac:dyDescent="0.25">
      <c r="A14" s="9"/>
      <c r="B14" s="9"/>
      <c r="C14" s="5" t="s">
        <v>31</v>
      </c>
      <c r="D14" s="5" t="s">
        <v>32</v>
      </c>
      <c r="E14" s="5" t="s">
        <v>33</v>
      </c>
      <c r="F14" s="5" t="s">
        <v>31</v>
      </c>
      <c r="G14" s="5" t="s">
        <v>32</v>
      </c>
      <c r="H14" s="5" t="s">
        <v>33</v>
      </c>
      <c r="I14" s="5" t="s">
        <v>31</v>
      </c>
      <c r="J14" s="5" t="s">
        <v>32</v>
      </c>
      <c r="K14" s="5" t="s">
        <v>33</v>
      </c>
      <c r="L14" s="5" t="s">
        <v>31</v>
      </c>
      <c r="M14" s="5" t="s">
        <v>32</v>
      </c>
      <c r="N14" s="5" t="s">
        <v>33</v>
      </c>
    </row>
    <row r="15" spans="1:14" ht="33.950000000000003" customHeight="1" x14ac:dyDescent="0.25">
      <c r="A15" s="6" t="s">
        <v>23</v>
      </c>
      <c r="B15" s="30" t="str">
        <f>Концепции!$B$4</f>
        <v>Система управления командными задачами и рабочими процессами</v>
      </c>
      <c r="C15" s="10">
        <v>5</v>
      </c>
      <c r="D15" s="10">
        <v>6</v>
      </c>
      <c r="E15" s="10">
        <v>7</v>
      </c>
      <c r="F15" s="10">
        <v>6</v>
      </c>
      <c r="G15" s="10">
        <v>7</v>
      </c>
      <c r="H15" s="10">
        <v>8</v>
      </c>
      <c r="I15" s="10">
        <v>2</v>
      </c>
      <c r="J15" s="10">
        <v>4</v>
      </c>
      <c r="K15" s="10">
        <v>5</v>
      </c>
      <c r="L15" s="10">
        <v>4</v>
      </c>
      <c r="M15" s="10">
        <v>5</v>
      </c>
      <c r="N15" s="10">
        <v>7</v>
      </c>
    </row>
    <row r="16" spans="1:14" ht="33.950000000000003" customHeight="1" x14ac:dyDescent="0.25">
      <c r="A16" s="6" t="s">
        <v>24</v>
      </c>
      <c r="B16" s="30" t="str">
        <f>Концепции!$B$5</f>
        <v>Система персонального и семейного финансового учёта</v>
      </c>
      <c r="C16" s="10">
        <v>8</v>
      </c>
      <c r="D16" s="10">
        <v>9</v>
      </c>
      <c r="E16" s="10">
        <v>10</v>
      </c>
      <c r="F16" s="10">
        <v>8</v>
      </c>
      <c r="G16" s="10">
        <v>9</v>
      </c>
      <c r="H16" s="10">
        <v>10</v>
      </c>
      <c r="I16" s="10">
        <v>4</v>
      </c>
      <c r="J16" s="10">
        <v>6</v>
      </c>
      <c r="K16" s="10">
        <v>7</v>
      </c>
      <c r="L16" s="10">
        <v>3</v>
      </c>
      <c r="M16" s="10">
        <v>4</v>
      </c>
      <c r="N16" s="10">
        <v>6</v>
      </c>
    </row>
    <row r="17" spans="1:14" ht="33.950000000000003" customHeight="1" x14ac:dyDescent="0.25">
      <c r="A17" s="6" t="s">
        <v>25</v>
      </c>
      <c r="B17" s="30" t="str">
        <f>Концепции!$B$6</f>
        <v>Система онлайн-бронирования услуг и управления записями</v>
      </c>
      <c r="C17" s="10">
        <v>7</v>
      </c>
      <c r="D17" s="10">
        <v>8</v>
      </c>
      <c r="E17" s="10">
        <v>10</v>
      </c>
      <c r="F17" s="10">
        <v>6</v>
      </c>
      <c r="G17" s="10">
        <v>8</v>
      </c>
      <c r="H17" s="10">
        <v>9</v>
      </c>
      <c r="I17" s="10">
        <v>5</v>
      </c>
      <c r="J17" s="10">
        <v>7</v>
      </c>
      <c r="K17" s="10">
        <v>9</v>
      </c>
      <c r="L17" s="10">
        <v>6</v>
      </c>
      <c r="M17" s="10">
        <v>8</v>
      </c>
      <c r="N17" s="10">
        <v>9</v>
      </c>
    </row>
    <row r="18" spans="1:14" ht="33.950000000000003" customHeight="1" x14ac:dyDescent="0.25">
      <c r="A18" s="6" t="s">
        <v>26</v>
      </c>
      <c r="B18" s="30" t="str">
        <f>Концепции!$B$7</f>
        <v>Система планирования тренировок и отслеживания физической активности</v>
      </c>
      <c r="C18" s="10">
        <v>5</v>
      </c>
      <c r="D18" s="10">
        <v>7</v>
      </c>
      <c r="E18" s="10">
        <v>8</v>
      </c>
      <c r="F18" s="10">
        <v>7</v>
      </c>
      <c r="G18" s="10">
        <v>8</v>
      </c>
      <c r="H18" s="10">
        <v>9</v>
      </c>
      <c r="I18" s="10">
        <v>4</v>
      </c>
      <c r="J18" s="10">
        <v>5</v>
      </c>
      <c r="K18" s="10">
        <v>7</v>
      </c>
      <c r="L18" s="10">
        <v>3</v>
      </c>
      <c r="M18" s="10">
        <v>5</v>
      </c>
      <c r="N18" s="10">
        <v>6</v>
      </c>
    </row>
    <row r="19" spans="1:14" x14ac:dyDescent="0.25">
      <c r="A19" s="6" t="s">
        <v>34</v>
      </c>
      <c r="B19" s="6" t="s">
        <v>97</v>
      </c>
      <c r="C19" s="11">
        <v>0.8</v>
      </c>
      <c r="D19" s="11">
        <v>0.9</v>
      </c>
      <c r="E19" s="11">
        <v>1</v>
      </c>
      <c r="F19" s="11">
        <v>0.7</v>
      </c>
      <c r="G19" s="11">
        <v>0.8</v>
      </c>
      <c r="H19" s="11">
        <v>0.9</v>
      </c>
      <c r="I19" s="11">
        <v>0.8</v>
      </c>
      <c r="J19" s="11">
        <v>0.9</v>
      </c>
      <c r="K19" s="11">
        <v>1</v>
      </c>
      <c r="L19" s="11">
        <v>0.6</v>
      </c>
      <c r="M19" s="11">
        <v>0.7</v>
      </c>
      <c r="N19" s="11">
        <v>0.8</v>
      </c>
    </row>
    <row r="21" spans="1:14" x14ac:dyDescent="0.25">
      <c r="A21" s="4" t="s">
        <v>36</v>
      </c>
      <c r="B21" s="7" t="s">
        <v>99</v>
      </c>
    </row>
    <row r="22" spans="1:14" x14ac:dyDescent="0.25">
      <c r="A22" s="9"/>
      <c r="B22" s="5" t="s">
        <v>21</v>
      </c>
      <c r="C22" s="35" t="str">
        <f>Концепции!$B$11</f>
        <v>Пользовательская ценность</v>
      </c>
      <c r="D22" s="36"/>
      <c r="E22" s="36"/>
      <c r="F22" s="35" t="str">
        <f>Концепции!$B$12</f>
        <v>Широта целевой аудитории</v>
      </c>
      <c r="G22" s="36"/>
      <c r="H22" s="36"/>
      <c r="I22" s="35" t="str">
        <f>Концепции!$B$13</f>
        <v>Сложность освоения продукта</v>
      </c>
      <c r="J22" s="36"/>
      <c r="K22" s="36"/>
      <c r="L22" s="35" t="str">
        <f>Концепции!$B$14</f>
        <v>Количество действий для выполнения основных сценариев</v>
      </c>
      <c r="M22" s="36"/>
      <c r="N22" s="36"/>
    </row>
    <row r="23" spans="1:14" x14ac:dyDescent="0.25">
      <c r="A23" s="9"/>
      <c r="B23" s="9"/>
      <c r="C23" s="5" t="s">
        <v>31</v>
      </c>
      <c r="D23" s="5" t="s">
        <v>32</v>
      </c>
      <c r="E23" s="5" t="s">
        <v>33</v>
      </c>
      <c r="F23" s="5" t="s">
        <v>31</v>
      </c>
      <c r="G23" s="5" t="s">
        <v>32</v>
      </c>
      <c r="H23" s="5" t="s">
        <v>33</v>
      </c>
      <c r="I23" s="5" t="s">
        <v>31</v>
      </c>
      <c r="J23" s="5" t="s">
        <v>32</v>
      </c>
      <c r="K23" s="5" t="s">
        <v>33</v>
      </c>
      <c r="L23" s="5" t="s">
        <v>31</v>
      </c>
      <c r="M23" s="5" t="s">
        <v>32</v>
      </c>
      <c r="N23" s="5" t="s">
        <v>33</v>
      </c>
    </row>
    <row r="24" spans="1:14" ht="33.950000000000003" customHeight="1" x14ac:dyDescent="0.25">
      <c r="A24" s="6" t="s">
        <v>23</v>
      </c>
      <c r="B24" s="30" t="str">
        <f>Концепции!$B$4</f>
        <v>Система управления командными задачами и рабочими процессами</v>
      </c>
      <c r="C24" s="10">
        <v>6</v>
      </c>
      <c r="D24" s="10">
        <v>8</v>
      </c>
      <c r="E24" s="10">
        <v>10</v>
      </c>
      <c r="F24" s="10">
        <v>5</v>
      </c>
      <c r="G24" s="10">
        <v>7</v>
      </c>
      <c r="H24" s="10">
        <v>9</v>
      </c>
      <c r="I24" s="10">
        <v>4</v>
      </c>
      <c r="J24" s="10">
        <v>6</v>
      </c>
      <c r="K24" s="10">
        <v>8</v>
      </c>
      <c r="L24" s="10">
        <v>3</v>
      </c>
      <c r="M24" s="10">
        <v>5</v>
      </c>
      <c r="N24" s="10">
        <v>7</v>
      </c>
    </row>
    <row r="25" spans="1:14" ht="33.950000000000003" customHeight="1" x14ac:dyDescent="0.25">
      <c r="A25" s="6" t="s">
        <v>24</v>
      </c>
      <c r="B25" s="30" t="str">
        <f>Концепции!$B$5</f>
        <v>Система персонального и семейного финансового учёта</v>
      </c>
      <c r="C25" s="10">
        <v>7</v>
      </c>
      <c r="D25" s="10">
        <v>9</v>
      </c>
      <c r="E25" s="10">
        <v>10</v>
      </c>
      <c r="F25" s="10">
        <v>8</v>
      </c>
      <c r="G25" s="10">
        <v>10</v>
      </c>
      <c r="H25" s="10">
        <v>10</v>
      </c>
      <c r="I25" s="10">
        <v>6</v>
      </c>
      <c r="J25" s="10">
        <v>8</v>
      </c>
      <c r="K25" s="10">
        <v>10</v>
      </c>
      <c r="L25" s="10">
        <v>4</v>
      </c>
      <c r="M25" s="10">
        <v>6</v>
      </c>
      <c r="N25" s="10">
        <v>8</v>
      </c>
    </row>
    <row r="26" spans="1:14" ht="33.950000000000003" customHeight="1" x14ac:dyDescent="0.25">
      <c r="A26" s="6" t="s">
        <v>25</v>
      </c>
      <c r="B26" s="30" t="str">
        <f>Концепции!$B$6</f>
        <v>Система онлайн-бронирования услуг и управления записями</v>
      </c>
      <c r="C26" s="10">
        <v>7</v>
      </c>
      <c r="D26" s="10">
        <v>9</v>
      </c>
      <c r="E26" s="10">
        <v>10</v>
      </c>
      <c r="F26" s="10">
        <v>7</v>
      </c>
      <c r="G26" s="10">
        <v>9</v>
      </c>
      <c r="H26" s="10">
        <v>10</v>
      </c>
      <c r="I26" s="10">
        <v>2</v>
      </c>
      <c r="J26" s="10">
        <v>4</v>
      </c>
      <c r="K26" s="10">
        <v>6</v>
      </c>
      <c r="L26" s="10">
        <v>2</v>
      </c>
      <c r="M26" s="10">
        <v>4</v>
      </c>
      <c r="N26" s="10">
        <v>6</v>
      </c>
    </row>
    <row r="27" spans="1:14" ht="33.950000000000003" customHeight="1" x14ac:dyDescent="0.25">
      <c r="A27" s="6" t="s">
        <v>26</v>
      </c>
      <c r="B27" s="30" t="str">
        <f>Концепции!$B$7</f>
        <v>Система планирования тренировок и отслеживания физической активности</v>
      </c>
      <c r="C27" s="10">
        <v>5</v>
      </c>
      <c r="D27" s="10">
        <v>7</v>
      </c>
      <c r="E27" s="10">
        <v>9</v>
      </c>
      <c r="F27" s="10">
        <v>3</v>
      </c>
      <c r="G27" s="10">
        <v>5</v>
      </c>
      <c r="H27" s="10">
        <v>7</v>
      </c>
      <c r="I27" s="10">
        <v>2</v>
      </c>
      <c r="J27" s="10">
        <v>4</v>
      </c>
      <c r="K27" s="10">
        <v>6</v>
      </c>
      <c r="L27" s="10">
        <v>2</v>
      </c>
      <c r="M27" s="10">
        <v>4</v>
      </c>
      <c r="N27" s="10">
        <v>6</v>
      </c>
    </row>
    <row r="28" spans="1:14" x14ac:dyDescent="0.25">
      <c r="A28" s="6" t="s">
        <v>34</v>
      </c>
      <c r="B28" s="6" t="s">
        <v>97</v>
      </c>
      <c r="C28" s="11">
        <v>0.7</v>
      </c>
      <c r="D28" s="11">
        <v>0.9</v>
      </c>
      <c r="E28" s="11">
        <v>1</v>
      </c>
      <c r="F28" s="11">
        <v>0.6</v>
      </c>
      <c r="G28" s="11">
        <v>0.8</v>
      </c>
      <c r="H28" s="11">
        <v>1</v>
      </c>
      <c r="I28" s="11">
        <v>0.7</v>
      </c>
      <c r="J28" s="11">
        <v>0.9</v>
      </c>
      <c r="K28" s="11">
        <v>1</v>
      </c>
      <c r="L28" s="11">
        <v>0.4</v>
      </c>
      <c r="M28" s="11">
        <v>0.6</v>
      </c>
      <c r="N28" s="11">
        <v>0.8</v>
      </c>
    </row>
  </sheetData>
  <mergeCells count="12">
    <mergeCell ref="L13:N13"/>
    <mergeCell ref="C22:E22"/>
    <mergeCell ref="L22:N22"/>
    <mergeCell ref="C4:E4"/>
    <mergeCell ref="F4:H4"/>
    <mergeCell ref="I4:K4"/>
    <mergeCell ref="L4:N4"/>
    <mergeCell ref="F22:H22"/>
    <mergeCell ref="C13:E13"/>
    <mergeCell ref="I13:K13"/>
    <mergeCell ref="F13:H13"/>
    <mergeCell ref="I22:K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/>
  </sheetViews>
  <sheetFormatPr defaultRowHeight="15" x14ac:dyDescent="0.25"/>
  <cols>
    <col min="1" max="1" width="6" customWidth="1"/>
    <col min="2" max="2" width="55" customWidth="1"/>
    <col min="3" max="14" width="9" customWidth="1"/>
  </cols>
  <sheetData>
    <row r="1" spans="1:14" ht="16.5" x14ac:dyDescent="0.25">
      <c r="A1" s="1" t="s">
        <v>37</v>
      </c>
    </row>
    <row r="3" spans="1:14" x14ac:dyDescent="0.25">
      <c r="A3" s="4" t="s">
        <v>38</v>
      </c>
    </row>
    <row r="4" spans="1:14" x14ac:dyDescent="0.25">
      <c r="A4" s="9"/>
      <c r="B4" s="5" t="s">
        <v>21</v>
      </c>
      <c r="C4" s="35" t="str">
        <f>Концепции!$B$11</f>
        <v>Пользовательская ценность</v>
      </c>
      <c r="D4" s="36"/>
      <c r="E4" s="36"/>
      <c r="F4" s="35" t="str">
        <f>Концепции!$B$12</f>
        <v>Широта целевой аудитории</v>
      </c>
      <c r="G4" s="36"/>
      <c r="H4" s="36"/>
      <c r="I4" s="35" t="str">
        <f>Концепции!$B$13</f>
        <v>Сложность освоения продукта</v>
      </c>
      <c r="J4" s="36"/>
      <c r="K4" s="36"/>
      <c r="L4" s="35" t="str">
        <f>Концепции!$B$14</f>
        <v>Количество действий для выполнения основных сценариев</v>
      </c>
      <c r="M4" s="36"/>
      <c r="N4" s="36"/>
    </row>
    <row r="5" spans="1:14" x14ac:dyDescent="0.25">
      <c r="A5" s="9"/>
      <c r="B5" s="9"/>
      <c r="C5" s="5" t="s">
        <v>31</v>
      </c>
      <c r="D5" s="5" t="s">
        <v>32</v>
      </c>
      <c r="E5" s="5" t="s">
        <v>33</v>
      </c>
      <c r="F5" s="5" t="s">
        <v>31</v>
      </c>
      <c r="G5" s="5" t="s">
        <v>32</v>
      </c>
      <c r="H5" s="5" t="s">
        <v>33</v>
      </c>
      <c r="I5" s="5" t="s">
        <v>31</v>
      </c>
      <c r="J5" s="5" t="s">
        <v>32</v>
      </c>
      <c r="K5" s="5" t="s">
        <v>33</v>
      </c>
      <c r="L5" s="5" t="s">
        <v>31</v>
      </c>
      <c r="M5" s="5" t="s">
        <v>32</v>
      </c>
      <c r="N5" s="5" t="s">
        <v>33</v>
      </c>
    </row>
    <row r="6" spans="1:14" ht="33.950000000000003" customHeight="1" x14ac:dyDescent="0.25">
      <c r="A6" s="6" t="s">
        <v>23</v>
      </c>
      <c r="B6" s="30" t="str">
        <f>Концепции!$B$4</f>
        <v>Система управления командными задачами и рабочими процессами</v>
      </c>
      <c r="C6" s="12">
        <f>MIN(Оценки!$C$6,Оценки!$C$15,Оценки!$C$24)</f>
        <v>5</v>
      </c>
      <c r="D6" s="12">
        <f>AVERAGE(Оценки!$D$6,Оценки!$D$15,Оценки!$D$24)</f>
        <v>7.333333333333333</v>
      </c>
      <c r="E6" s="12">
        <f>MAX(Оценки!$E$6,Оценки!$E$15,Оценки!$E$24)</f>
        <v>10</v>
      </c>
      <c r="F6" s="12">
        <f>MIN(Оценки!$F$6,Оценки!$F$15,Оценки!$F$24)</f>
        <v>5</v>
      </c>
      <c r="G6" s="12">
        <f>AVERAGE(Оценки!$G$6,Оценки!$G$15,Оценки!$G$24)</f>
        <v>7.666666666666667</v>
      </c>
      <c r="H6" s="12">
        <f>MAX(Оценки!$H$6,Оценки!$H$15,Оценки!$H$24)</f>
        <v>10</v>
      </c>
      <c r="I6" s="12">
        <f>MIN(Оценки!$I$6,Оценки!$I$15,Оценки!$I$24)</f>
        <v>2</v>
      </c>
      <c r="J6" s="12">
        <f>AVERAGE(Оценки!$J$6,Оценки!$J$15,Оценки!$J$24)</f>
        <v>5.333333333333333</v>
      </c>
      <c r="K6" s="12">
        <f>MAX(Оценки!$K$6,Оценки!$K$15,Оценки!$K$24)</f>
        <v>8</v>
      </c>
      <c r="L6" s="12">
        <f>MIN(Оценки!$L$6,Оценки!$L$15,Оценки!$L$24)</f>
        <v>3</v>
      </c>
      <c r="M6" s="12">
        <f>AVERAGE(Оценки!$M$6,Оценки!$M$15,Оценки!$M$24)</f>
        <v>5.666666666666667</v>
      </c>
      <c r="N6" s="12">
        <f>MAX(Оценки!$N$6,Оценки!$N$15,Оценки!$N$24)</f>
        <v>8</v>
      </c>
    </row>
    <row r="7" spans="1:14" ht="33.950000000000003" customHeight="1" x14ac:dyDescent="0.25">
      <c r="A7" s="6" t="s">
        <v>24</v>
      </c>
      <c r="B7" s="30" t="str">
        <f>Концепции!$B$5</f>
        <v>Система персонального и семейного финансового учёта</v>
      </c>
      <c r="C7" s="12">
        <f>MIN(Оценки!$C$7,Оценки!$C$16,Оценки!$C$25)</f>
        <v>7</v>
      </c>
      <c r="D7" s="12">
        <f>AVERAGE(Оценки!$D$7,Оценки!$D$16,Оценки!$D$25)</f>
        <v>9</v>
      </c>
      <c r="E7" s="12">
        <f>MAX(Оценки!$E$7,Оценки!$E$16,Оценки!$E$25)</f>
        <v>10</v>
      </c>
      <c r="F7" s="12">
        <f>MIN(Оценки!$F$7,Оценки!$F$16,Оценки!$F$25)</f>
        <v>8</v>
      </c>
      <c r="G7" s="12">
        <f>AVERAGE(Оценки!$G$7,Оценки!$G$16,Оценки!$G$25)</f>
        <v>9.3333333333333339</v>
      </c>
      <c r="H7" s="12">
        <f>MAX(Оценки!$H$7,Оценки!$H$16,Оценки!$H$25)</f>
        <v>10</v>
      </c>
      <c r="I7" s="12">
        <f>MIN(Оценки!$I$7,Оценки!$I$16,Оценки!$I$25)</f>
        <v>4</v>
      </c>
      <c r="J7" s="12">
        <f>AVERAGE(Оценки!$J$7,Оценки!$J$16,Оценки!$J$25)</f>
        <v>6.666666666666667</v>
      </c>
      <c r="K7" s="12">
        <f>MAX(Оценки!$K$7,Оценки!$K$16,Оценки!$K$25)</f>
        <v>10</v>
      </c>
      <c r="L7" s="12">
        <f>MIN(Оценки!$L$7,Оценки!$L$16,Оценки!$L$25)</f>
        <v>3</v>
      </c>
      <c r="M7" s="12">
        <f>AVERAGE(Оценки!$M$7,Оценки!$M$16,Оценки!$M$25)</f>
        <v>5.666666666666667</v>
      </c>
      <c r="N7" s="12">
        <f>MAX(Оценки!$N$7,Оценки!$N$16,Оценки!$N$25)</f>
        <v>8</v>
      </c>
    </row>
    <row r="8" spans="1:14" ht="33.950000000000003" customHeight="1" x14ac:dyDescent="0.25">
      <c r="A8" s="6" t="s">
        <v>25</v>
      </c>
      <c r="B8" s="30" t="str">
        <f>Концепции!$B$6</f>
        <v>Система онлайн-бронирования услуг и управления записями</v>
      </c>
      <c r="C8" s="12">
        <f>MIN(Оценки!$C$8,Оценки!$C$17,Оценки!$C$26)</f>
        <v>7</v>
      </c>
      <c r="D8" s="12">
        <f>AVERAGE(Оценки!$D$8,Оценки!$D$17,Оценки!$D$26)</f>
        <v>8.3333333333333339</v>
      </c>
      <c r="E8" s="12">
        <f>MAX(Оценки!$E$8,Оценки!$E$17,Оценки!$E$26)</f>
        <v>10</v>
      </c>
      <c r="F8" s="12">
        <f>MIN(Оценки!$F$8,Оценки!$F$17,Оценки!$F$26)</f>
        <v>6</v>
      </c>
      <c r="G8" s="12">
        <f>AVERAGE(Оценки!$G$8,Оценки!$G$17,Оценки!$G$26)</f>
        <v>8.6666666666666661</v>
      </c>
      <c r="H8" s="12">
        <f>MAX(Оценки!$H$8,Оценки!$H$17,Оценки!$H$26)</f>
        <v>10</v>
      </c>
      <c r="I8" s="12">
        <f>MIN(Оценки!$I$8,Оценки!$I$17,Оценки!$I$26)</f>
        <v>2</v>
      </c>
      <c r="J8" s="12">
        <f>AVERAGE(Оценки!$J$8,Оценки!$J$17,Оценки!$J$26)</f>
        <v>5.333333333333333</v>
      </c>
      <c r="K8" s="12">
        <f>MAX(Оценки!$K$8,Оценки!$K$17,Оценки!$K$26)</f>
        <v>9</v>
      </c>
      <c r="L8" s="12">
        <f>MIN(Оценки!$L$8,Оценки!$L$17,Оценки!$L$26)</f>
        <v>2</v>
      </c>
      <c r="M8" s="12">
        <f>AVERAGE(Оценки!$M$8,Оценки!$M$17,Оценки!$M$26)</f>
        <v>5.666666666666667</v>
      </c>
      <c r="N8" s="12">
        <f>MAX(Оценки!$N$8,Оценки!$N$17,Оценки!$N$26)</f>
        <v>9</v>
      </c>
    </row>
    <row r="9" spans="1:14" ht="33.950000000000003" customHeight="1" x14ac:dyDescent="0.25">
      <c r="A9" s="6" t="s">
        <v>26</v>
      </c>
      <c r="B9" s="30" t="str">
        <f>Концепции!$B$7</f>
        <v>Система планирования тренировок и отслеживания физической активности</v>
      </c>
      <c r="C9" s="12">
        <f>MIN(Оценки!$C$9,Оценки!$C$18,Оценки!$C$27)</f>
        <v>5</v>
      </c>
      <c r="D9" s="12">
        <f>AVERAGE(Оценки!$D$9,Оценки!$D$18,Оценки!$D$27)</f>
        <v>7.666666666666667</v>
      </c>
      <c r="E9" s="12">
        <f>MAX(Оценки!$E$9,Оценки!$E$18,Оценки!$E$27)</f>
        <v>10</v>
      </c>
      <c r="F9" s="12">
        <f>MIN(Оценки!$F$9,Оценки!$F$18,Оценки!$F$27)</f>
        <v>3</v>
      </c>
      <c r="G9" s="12">
        <f>AVERAGE(Оценки!$G$9,Оценки!$G$18,Оценки!$G$27)</f>
        <v>7</v>
      </c>
      <c r="H9" s="12">
        <f>MAX(Оценки!$H$9,Оценки!$H$18,Оценки!$H$27)</f>
        <v>9</v>
      </c>
      <c r="I9" s="12">
        <f>MIN(Оценки!$I$9,Оценки!$I$18,Оценки!$I$27)</f>
        <v>2</v>
      </c>
      <c r="J9" s="12">
        <f>AVERAGE(Оценки!$J$9,Оценки!$J$18,Оценки!$J$27)</f>
        <v>4.666666666666667</v>
      </c>
      <c r="K9" s="12">
        <f>MAX(Оценки!$K$9,Оценки!$K$18,Оценки!$K$27)</f>
        <v>7</v>
      </c>
      <c r="L9" s="12">
        <f>MIN(Оценки!$L$9,Оценки!$L$18,Оценки!$L$27)</f>
        <v>2</v>
      </c>
      <c r="M9" s="12">
        <f>AVERAGE(Оценки!$M$9,Оценки!$M$18,Оценки!$M$27)</f>
        <v>5</v>
      </c>
      <c r="N9" s="12">
        <f>MAX(Оценки!$N$9,Оценки!$N$18,Оценки!$N$27)</f>
        <v>7</v>
      </c>
    </row>
    <row r="10" spans="1:14" x14ac:dyDescent="0.25">
      <c r="A10" s="6" t="s">
        <v>34</v>
      </c>
      <c r="B10" s="6" t="s">
        <v>39</v>
      </c>
      <c r="C10" s="12">
        <f>MIN(Оценки!$C$10,Оценки!$C$19,Оценки!$C$28)</f>
        <v>0.7</v>
      </c>
      <c r="D10" s="12">
        <f>AVERAGE(Оценки!$D$10,Оценки!$D$19,Оценки!$D$28)</f>
        <v>0.9</v>
      </c>
      <c r="E10" s="12">
        <f>MAX(Оценки!$E$10,Оценки!$E$19,Оценки!$E$28)</f>
        <v>1</v>
      </c>
      <c r="F10" s="12">
        <f>MIN(Оценки!$F$10,Оценки!$F$19,Оценки!$F$28)</f>
        <v>0.6</v>
      </c>
      <c r="G10" s="12">
        <f>AVERAGE(Оценки!$G$10,Оценки!$G$19,Оценки!$G$28)</f>
        <v>0.83333333333333337</v>
      </c>
      <c r="H10" s="12">
        <f>MAX(Оценки!$H$10,Оценки!$H$19,Оценки!$H$28)</f>
        <v>1</v>
      </c>
      <c r="I10" s="12">
        <f>MIN(Оценки!$I$10,Оценки!$I$19,Оценки!$I$28)</f>
        <v>0.7</v>
      </c>
      <c r="J10" s="12">
        <f>AVERAGE(Оценки!$J$10,Оценки!$J$19,Оценки!$J$28)</f>
        <v>0.8666666666666667</v>
      </c>
      <c r="K10" s="12">
        <f>MAX(Оценки!$K$10,Оценки!$K$19,Оценки!$K$28)</f>
        <v>1</v>
      </c>
      <c r="L10" s="12">
        <f>MIN(Оценки!$L$10,Оценки!$L$19,Оценки!$L$28)</f>
        <v>0.4</v>
      </c>
      <c r="M10" s="12">
        <f>AVERAGE(Оценки!$M$10,Оценки!$M$19,Оценки!$M$28)</f>
        <v>0.6333333333333333</v>
      </c>
      <c r="N10" s="12">
        <f>MAX(Оценки!$N$10,Оценки!$N$19,Оценки!$N$28)</f>
        <v>0.8</v>
      </c>
    </row>
    <row r="11" spans="1:14" x14ac:dyDescent="0.25">
      <c r="B11" s="6" t="s">
        <v>40</v>
      </c>
      <c r="C11" s="37" t="str">
        <f>Концепции!$C$11</f>
        <v>max</v>
      </c>
      <c r="D11" s="36"/>
      <c r="E11" s="36"/>
      <c r="F11" s="37" t="str">
        <f>Концепции!$C$12</f>
        <v>max</v>
      </c>
      <c r="G11" s="36"/>
      <c r="H11" s="36"/>
      <c r="I11" s="37" t="str">
        <f>Концепции!$C$13</f>
        <v>min</v>
      </c>
      <c r="J11" s="36"/>
      <c r="K11" s="36"/>
      <c r="L11" s="37" t="str">
        <f>Концепции!$C$14</f>
        <v>min</v>
      </c>
      <c r="M11" s="36"/>
      <c r="N11" s="36"/>
    </row>
    <row r="12" spans="1:14" x14ac:dyDescent="0.25">
      <c r="B12" s="6" t="s">
        <v>41</v>
      </c>
      <c r="C12" s="38">
        <f>MAX(E6:E9)</f>
        <v>10</v>
      </c>
      <c r="D12" s="36"/>
      <c r="E12" s="36"/>
      <c r="F12" s="38">
        <f>MAX(H6:H9)</f>
        <v>10</v>
      </c>
      <c r="G12" s="36"/>
      <c r="H12" s="36"/>
      <c r="I12" s="38">
        <f>MAX(K6:K9)</f>
        <v>10</v>
      </c>
      <c r="J12" s="36"/>
      <c r="K12" s="36"/>
      <c r="L12" s="38">
        <f>MAX(N6:N9)</f>
        <v>9</v>
      </c>
      <c r="M12" s="36"/>
      <c r="N12" s="36"/>
    </row>
    <row r="13" spans="1:14" x14ac:dyDescent="0.25">
      <c r="B13" s="6" t="s">
        <v>42</v>
      </c>
      <c r="C13" s="38">
        <f>MIN(C6:C9)</f>
        <v>5</v>
      </c>
      <c r="D13" s="36"/>
      <c r="E13" s="36"/>
      <c r="F13" s="38">
        <f>MIN(F6:F9)</f>
        <v>3</v>
      </c>
      <c r="G13" s="36"/>
      <c r="H13" s="36"/>
      <c r="I13" s="38">
        <f>MIN(I6:I9)</f>
        <v>2</v>
      </c>
      <c r="J13" s="36"/>
      <c r="K13" s="36"/>
      <c r="L13" s="38">
        <f>MIN(L6:L9)</f>
        <v>2</v>
      </c>
      <c r="M13" s="36"/>
      <c r="N13" s="36"/>
    </row>
    <row r="15" spans="1:14" x14ac:dyDescent="0.25">
      <c r="A15" s="4" t="s">
        <v>43</v>
      </c>
    </row>
    <row r="16" spans="1:14" x14ac:dyDescent="0.25">
      <c r="A16" s="9"/>
      <c r="B16" s="5" t="s">
        <v>21</v>
      </c>
      <c r="C16" s="35" t="str">
        <f>Концепции!$B$11</f>
        <v>Пользовательская ценность</v>
      </c>
      <c r="D16" s="36"/>
      <c r="E16" s="36"/>
      <c r="F16" s="35" t="str">
        <f>Концепции!$B$12</f>
        <v>Широта целевой аудитории</v>
      </c>
      <c r="G16" s="36"/>
      <c r="H16" s="36"/>
      <c r="I16" s="35" t="str">
        <f>Концепции!$B$13</f>
        <v>Сложность освоения продукта</v>
      </c>
      <c r="J16" s="36"/>
      <c r="K16" s="36"/>
      <c r="L16" s="35" t="str">
        <f>Концепции!$B$14</f>
        <v>Количество действий для выполнения основных сценариев</v>
      </c>
      <c r="M16" s="36"/>
      <c r="N16" s="36"/>
    </row>
    <row r="17" spans="1:14" x14ac:dyDescent="0.25">
      <c r="A17" s="9"/>
      <c r="B17" s="9"/>
      <c r="C17" s="5" t="s">
        <v>31</v>
      </c>
      <c r="D17" s="5" t="s">
        <v>32</v>
      </c>
      <c r="E17" s="5" t="s">
        <v>33</v>
      </c>
      <c r="F17" s="5" t="s">
        <v>31</v>
      </c>
      <c r="G17" s="5" t="s">
        <v>32</v>
      </c>
      <c r="H17" s="5" t="s">
        <v>33</v>
      </c>
      <c r="I17" s="5" t="s">
        <v>31</v>
      </c>
      <c r="J17" s="5" t="s">
        <v>32</v>
      </c>
      <c r="K17" s="5" t="s">
        <v>33</v>
      </c>
      <c r="L17" s="5" t="s">
        <v>31</v>
      </c>
      <c r="M17" s="5" t="s">
        <v>32</v>
      </c>
      <c r="N17" s="5" t="s">
        <v>33</v>
      </c>
    </row>
    <row r="18" spans="1:14" ht="33.950000000000003" customHeight="1" x14ac:dyDescent="0.25">
      <c r="A18" s="6" t="s">
        <v>23</v>
      </c>
      <c r="B18" s="30" t="str">
        <f>Концепции!$B$4</f>
        <v>Система управления командными задачами и рабочими процессами</v>
      </c>
      <c r="C18" s="13">
        <f>IF($C$11="max",C6/$C$12,$C$13/E6)</f>
        <v>0.5</v>
      </c>
      <c r="D18" s="13">
        <f>IF($C$11="max",D6/$C$12,$C$13/D6)</f>
        <v>0.73333333333333328</v>
      </c>
      <c r="E18" s="13">
        <f>IF($C$11="max",E6/$C$12,$C$13/C6)</f>
        <v>1</v>
      </c>
      <c r="F18" s="13">
        <f>IF($F$11="max",F6/$F$12,$F$13/H6)</f>
        <v>0.5</v>
      </c>
      <c r="G18" s="13">
        <f>IF($F$11="max",G6/$F$12,$F$13/G6)</f>
        <v>0.76666666666666672</v>
      </c>
      <c r="H18" s="13">
        <f>IF($F$11="max",H6/$F$12,$F$13/F6)</f>
        <v>1</v>
      </c>
      <c r="I18" s="13">
        <f>IF($I$11="max",I6/$I$12,$I$13/K6)</f>
        <v>0.25</v>
      </c>
      <c r="J18" s="13">
        <f>IF($I$11="max",J6/$I$12,$I$13/J6)</f>
        <v>0.375</v>
      </c>
      <c r="K18" s="13">
        <f>IF($I$11="max",K6/$I$12,$I$13/I6)</f>
        <v>1</v>
      </c>
      <c r="L18" s="13">
        <f>IF($L$11="max",L6/$L$12,$L$13/N6)</f>
        <v>0.25</v>
      </c>
      <c r="M18" s="13">
        <f>IF($L$11="max",M6/$L$12,$L$13/M6)</f>
        <v>0.3529411764705882</v>
      </c>
      <c r="N18" s="13">
        <f>IF($L$11="max",N6/$L$12,$L$13/L6)</f>
        <v>0.66666666666666663</v>
      </c>
    </row>
    <row r="19" spans="1:14" ht="33.950000000000003" customHeight="1" x14ac:dyDescent="0.25">
      <c r="A19" s="6" t="s">
        <v>24</v>
      </c>
      <c r="B19" s="30" t="str">
        <f>Концепции!$B$5</f>
        <v>Система персонального и семейного финансового учёта</v>
      </c>
      <c r="C19" s="13">
        <f>IF($C$11="max",C7/$C$12,$C$13/E7)</f>
        <v>0.7</v>
      </c>
      <c r="D19" s="13">
        <f>IF($C$11="max",D7/$C$12,$C$13/D7)</f>
        <v>0.9</v>
      </c>
      <c r="E19" s="13">
        <f>IF($C$11="max",E7/$C$12,$C$13/C7)</f>
        <v>1</v>
      </c>
      <c r="F19" s="13">
        <f>IF($F$11="max",F7/$F$12,$F$13/H7)</f>
        <v>0.8</v>
      </c>
      <c r="G19" s="13">
        <f>IF($F$11="max",G7/$F$12,$F$13/G7)</f>
        <v>0.93333333333333335</v>
      </c>
      <c r="H19" s="13">
        <f>IF($F$11="max",H7/$F$12,$F$13/F7)</f>
        <v>1</v>
      </c>
      <c r="I19" s="13">
        <f>IF($I$11="max",I7/$I$12,$I$13/K7)</f>
        <v>0.2</v>
      </c>
      <c r="J19" s="13">
        <f>IF($I$11="max",J7/$I$12,$I$13/J7)</f>
        <v>0.3</v>
      </c>
      <c r="K19" s="13">
        <f>IF($I$11="max",K7/$I$12,$I$13/I7)</f>
        <v>0.5</v>
      </c>
      <c r="L19" s="13">
        <f>IF($L$11="max",L7/$L$12,$L$13/N7)</f>
        <v>0.25</v>
      </c>
      <c r="M19" s="13">
        <f>IF($L$11="max",M7/$L$12,$L$13/M7)</f>
        <v>0.3529411764705882</v>
      </c>
      <c r="N19" s="13">
        <f>IF($L$11="max",N7/$L$12,$L$13/L7)</f>
        <v>0.66666666666666663</v>
      </c>
    </row>
    <row r="20" spans="1:14" ht="33.950000000000003" customHeight="1" x14ac:dyDescent="0.25">
      <c r="A20" s="6" t="s">
        <v>25</v>
      </c>
      <c r="B20" s="30" t="str">
        <f>Концепции!$B$6</f>
        <v>Система онлайн-бронирования услуг и управления записями</v>
      </c>
      <c r="C20" s="13">
        <f>IF($C$11="max",C8/$C$12,$C$13/E8)</f>
        <v>0.7</v>
      </c>
      <c r="D20" s="13">
        <f>IF($C$11="max",D8/$C$12,$C$13/D8)</f>
        <v>0.83333333333333337</v>
      </c>
      <c r="E20" s="13">
        <f>IF($C$11="max",E8/$C$12,$C$13/C8)</f>
        <v>1</v>
      </c>
      <c r="F20" s="13">
        <f>IF($F$11="max",F8/$F$12,$F$13/H8)</f>
        <v>0.6</v>
      </c>
      <c r="G20" s="13">
        <f>IF($F$11="max",G8/$F$12,$F$13/G8)</f>
        <v>0.86666666666666659</v>
      </c>
      <c r="H20" s="13">
        <f>IF($F$11="max",H8/$F$12,$F$13/F8)</f>
        <v>1</v>
      </c>
      <c r="I20" s="13">
        <f>IF($I$11="max",I8/$I$12,$I$13/K8)</f>
        <v>0.22222222222222221</v>
      </c>
      <c r="J20" s="13">
        <f>IF($I$11="max",J8/$I$12,$I$13/J8)</f>
        <v>0.375</v>
      </c>
      <c r="K20" s="13">
        <f>IF($I$11="max",K8/$I$12,$I$13/I8)</f>
        <v>1</v>
      </c>
      <c r="L20" s="13">
        <f>IF($L$11="max",L8/$L$12,$L$13/N8)</f>
        <v>0.22222222222222221</v>
      </c>
      <c r="M20" s="13">
        <f>IF($L$11="max",M8/$L$12,$L$13/M8)</f>
        <v>0.3529411764705882</v>
      </c>
      <c r="N20" s="13">
        <f>IF($L$11="max",N8/$L$12,$L$13/L8)</f>
        <v>1</v>
      </c>
    </row>
    <row r="21" spans="1:14" ht="33.950000000000003" customHeight="1" x14ac:dyDescent="0.25">
      <c r="A21" s="6" t="s">
        <v>26</v>
      </c>
      <c r="B21" s="30" t="str">
        <f>Концепции!$B$7</f>
        <v>Система планирования тренировок и отслеживания физической активности</v>
      </c>
      <c r="C21" s="13">
        <f>IF($C$11="max",C9/$C$12,$C$13/E9)</f>
        <v>0.5</v>
      </c>
      <c r="D21" s="13">
        <f>IF($C$11="max",D9/$C$12,$C$13/D9)</f>
        <v>0.76666666666666672</v>
      </c>
      <c r="E21" s="13">
        <f>IF($C$11="max",E9/$C$12,$C$13/C9)</f>
        <v>1</v>
      </c>
      <c r="F21" s="13">
        <f>IF($F$11="max",F9/$F$12,$F$13/H9)</f>
        <v>0.3</v>
      </c>
      <c r="G21" s="13">
        <f>IF($F$11="max",G9/$F$12,$F$13/G9)</f>
        <v>0.7</v>
      </c>
      <c r="H21" s="13">
        <f>IF($F$11="max",H9/$F$12,$F$13/F9)</f>
        <v>0.9</v>
      </c>
      <c r="I21" s="13">
        <f>IF($I$11="max",I9/$I$12,$I$13/K9)</f>
        <v>0.2857142857142857</v>
      </c>
      <c r="J21" s="13">
        <f>IF($I$11="max",J9/$I$12,$I$13/J9)</f>
        <v>0.42857142857142855</v>
      </c>
      <c r="K21" s="13">
        <f>IF($I$11="max",K9/$I$12,$I$13/I9)</f>
        <v>1</v>
      </c>
      <c r="L21" s="13">
        <f>IF($L$11="max",L9/$L$12,$L$13/N9)</f>
        <v>0.2857142857142857</v>
      </c>
      <c r="M21" s="13">
        <f>IF($L$11="max",M9/$L$12,$L$13/M9)</f>
        <v>0.4</v>
      </c>
      <c r="N21" s="13">
        <f>IF($L$11="max",N9/$L$12,$L$13/L9)</f>
        <v>1</v>
      </c>
    </row>
    <row r="23" spans="1:14" x14ac:dyDescent="0.25">
      <c r="A23" s="4" t="s">
        <v>44</v>
      </c>
    </row>
    <row r="24" spans="1:14" x14ac:dyDescent="0.25">
      <c r="A24" s="9"/>
      <c r="B24" s="5" t="s">
        <v>21</v>
      </c>
      <c r="C24" s="35" t="str">
        <f>Концепции!$B$11</f>
        <v>Пользовательская ценность</v>
      </c>
      <c r="D24" s="36"/>
      <c r="E24" s="36"/>
      <c r="F24" s="35" t="str">
        <f>Концепции!$B$12</f>
        <v>Широта целевой аудитории</v>
      </c>
      <c r="G24" s="36"/>
      <c r="H24" s="36"/>
      <c r="I24" s="35" t="str">
        <f>Концепции!$B$13</f>
        <v>Сложность освоения продукта</v>
      </c>
      <c r="J24" s="36"/>
      <c r="K24" s="36"/>
      <c r="L24" s="35" t="str">
        <f>Концепции!$B$14</f>
        <v>Количество действий для выполнения основных сценариев</v>
      </c>
      <c r="M24" s="36"/>
      <c r="N24" s="36"/>
    </row>
    <row r="25" spans="1:14" x14ac:dyDescent="0.25">
      <c r="A25" s="9"/>
      <c r="B25" s="9"/>
      <c r="C25" s="5" t="s">
        <v>31</v>
      </c>
      <c r="D25" s="5" t="s">
        <v>32</v>
      </c>
      <c r="E25" s="5" t="s">
        <v>33</v>
      </c>
      <c r="F25" s="5" t="s">
        <v>31</v>
      </c>
      <c r="G25" s="5" t="s">
        <v>32</v>
      </c>
      <c r="H25" s="5" t="s">
        <v>33</v>
      </c>
      <c r="I25" s="5" t="s">
        <v>31</v>
      </c>
      <c r="J25" s="5" t="s">
        <v>32</v>
      </c>
      <c r="K25" s="5" t="s">
        <v>33</v>
      </c>
      <c r="L25" s="5" t="s">
        <v>31</v>
      </c>
      <c r="M25" s="5" t="s">
        <v>32</v>
      </c>
      <c r="N25" s="5" t="s">
        <v>33</v>
      </c>
    </row>
    <row r="26" spans="1:14" ht="33.950000000000003" customHeight="1" x14ac:dyDescent="0.25">
      <c r="A26" s="6" t="s">
        <v>23</v>
      </c>
      <c r="B26" s="30" t="str">
        <f>Концепции!$B$4</f>
        <v>Система управления командными задачами и рабочими процессами</v>
      </c>
      <c r="C26" s="13">
        <f>C18*$C$10</f>
        <v>0.35</v>
      </c>
      <c r="D26" s="13">
        <f>D18*$D$10</f>
        <v>0.65999999999999992</v>
      </c>
      <c r="E26" s="13">
        <f>E18*$E$10</f>
        <v>1</v>
      </c>
      <c r="F26" s="13">
        <f>F18*$F$10</f>
        <v>0.3</v>
      </c>
      <c r="G26" s="13">
        <f>G18*$G$10</f>
        <v>0.63888888888888895</v>
      </c>
      <c r="H26" s="13">
        <f>H18*$H$10</f>
        <v>1</v>
      </c>
      <c r="I26" s="13">
        <f>I18*$I$10</f>
        <v>0.17499999999999999</v>
      </c>
      <c r="J26" s="13">
        <f>J18*$J$10</f>
        <v>0.32500000000000001</v>
      </c>
      <c r="K26" s="13">
        <f>K18*$K$10</f>
        <v>1</v>
      </c>
      <c r="L26" s="13">
        <f>L18*$L$10</f>
        <v>0.1</v>
      </c>
      <c r="M26" s="13">
        <f>M18*$M$10</f>
        <v>0.22352941176470584</v>
      </c>
      <c r="N26" s="13">
        <f>N18*$N$10</f>
        <v>0.53333333333333333</v>
      </c>
    </row>
    <row r="27" spans="1:14" ht="33.950000000000003" customHeight="1" x14ac:dyDescent="0.25">
      <c r="A27" s="6" t="s">
        <v>24</v>
      </c>
      <c r="B27" s="30" t="str">
        <f>Концепции!$B$5</f>
        <v>Система персонального и семейного финансового учёта</v>
      </c>
      <c r="C27" s="13">
        <f>C19*$C$10</f>
        <v>0.48999999999999994</v>
      </c>
      <c r="D27" s="13">
        <f>D19*$D$10</f>
        <v>0.81</v>
      </c>
      <c r="E27" s="13">
        <f>E19*$E$10</f>
        <v>1</v>
      </c>
      <c r="F27" s="13">
        <f>F19*$F$10</f>
        <v>0.48</v>
      </c>
      <c r="G27" s="13">
        <f>G19*$G$10</f>
        <v>0.77777777777777779</v>
      </c>
      <c r="H27" s="13">
        <f>H19*$H$10</f>
        <v>1</v>
      </c>
      <c r="I27" s="13">
        <f>I19*$I$10</f>
        <v>0.13999999999999999</v>
      </c>
      <c r="J27" s="13">
        <f>J19*$J$10</f>
        <v>0.26</v>
      </c>
      <c r="K27" s="13">
        <f>K19*$K$10</f>
        <v>0.5</v>
      </c>
      <c r="L27" s="13">
        <f>L19*$L$10</f>
        <v>0.1</v>
      </c>
      <c r="M27" s="13">
        <f>M19*$M$10</f>
        <v>0.22352941176470584</v>
      </c>
      <c r="N27" s="13">
        <f>N19*$N$10</f>
        <v>0.53333333333333333</v>
      </c>
    </row>
    <row r="28" spans="1:14" ht="33.950000000000003" customHeight="1" x14ac:dyDescent="0.25">
      <c r="A28" s="6" t="s">
        <v>25</v>
      </c>
      <c r="B28" s="30" t="str">
        <f>Концепции!$B$6</f>
        <v>Система онлайн-бронирования услуг и управления записями</v>
      </c>
      <c r="C28" s="13">
        <f>C20*$C$10</f>
        <v>0.48999999999999994</v>
      </c>
      <c r="D28" s="13">
        <f>D20*$D$10</f>
        <v>0.75</v>
      </c>
      <c r="E28" s="13">
        <f>E20*$E$10</f>
        <v>1</v>
      </c>
      <c r="F28" s="13">
        <f>F20*$F$10</f>
        <v>0.36</v>
      </c>
      <c r="G28" s="13">
        <f>G20*$G$10</f>
        <v>0.72222222222222221</v>
      </c>
      <c r="H28" s="13">
        <f>H20*$H$10</f>
        <v>1</v>
      </c>
      <c r="I28" s="13">
        <f>I20*$I$10</f>
        <v>0.15555555555555553</v>
      </c>
      <c r="J28" s="13">
        <f>J20*$J$10</f>
        <v>0.32500000000000001</v>
      </c>
      <c r="K28" s="13">
        <f>K20*$K$10</f>
        <v>1</v>
      </c>
      <c r="L28" s="13">
        <f>L20*$L$10</f>
        <v>8.8888888888888892E-2</v>
      </c>
      <c r="M28" s="13">
        <f>M20*$M$10</f>
        <v>0.22352941176470584</v>
      </c>
      <c r="N28" s="13">
        <f>N20*$N$10</f>
        <v>0.8</v>
      </c>
    </row>
    <row r="29" spans="1:14" ht="33.950000000000003" customHeight="1" x14ac:dyDescent="0.25">
      <c r="A29" s="6" t="s">
        <v>26</v>
      </c>
      <c r="B29" s="30" t="str">
        <f>Концепции!$B$7</f>
        <v>Система планирования тренировок и отслеживания физической активности</v>
      </c>
      <c r="C29" s="13">
        <f>C21*$C$10</f>
        <v>0.35</v>
      </c>
      <c r="D29" s="13">
        <f>D21*$D$10</f>
        <v>0.69000000000000006</v>
      </c>
      <c r="E29" s="13">
        <f>E21*$E$10</f>
        <v>1</v>
      </c>
      <c r="F29" s="13">
        <f>F21*$F$10</f>
        <v>0.18</v>
      </c>
      <c r="G29" s="13">
        <f>G21*$G$10</f>
        <v>0.58333333333333337</v>
      </c>
      <c r="H29" s="13">
        <f>H21*$H$10</f>
        <v>0.9</v>
      </c>
      <c r="I29" s="13">
        <f>I21*$I$10</f>
        <v>0.19999999999999998</v>
      </c>
      <c r="J29" s="13">
        <f>J21*$J$10</f>
        <v>0.37142857142857144</v>
      </c>
      <c r="K29" s="13">
        <f>K21*$K$10</f>
        <v>1</v>
      </c>
      <c r="L29" s="13">
        <f>L21*$L$10</f>
        <v>0.11428571428571428</v>
      </c>
      <c r="M29" s="13">
        <f>M21*$M$10</f>
        <v>0.25333333333333335</v>
      </c>
      <c r="N29" s="13">
        <f>N21*$N$10</f>
        <v>0.8</v>
      </c>
    </row>
    <row r="30" spans="1:14" x14ac:dyDescent="0.25">
      <c r="A30" s="6" t="s">
        <v>45</v>
      </c>
      <c r="B30" s="6" t="s">
        <v>46</v>
      </c>
      <c r="C30" s="13">
        <f>MAX(E26:E29)</f>
        <v>1</v>
      </c>
      <c r="D30" s="13">
        <f>MAX(E26:E29)</f>
        <v>1</v>
      </c>
      <c r="E30" s="13">
        <f>MAX(E26:E29)</f>
        <v>1</v>
      </c>
      <c r="F30" s="13">
        <f>MAX(H26:H29)</f>
        <v>1</v>
      </c>
      <c r="G30" s="13">
        <f>MAX(H26:H29)</f>
        <v>1</v>
      </c>
      <c r="H30" s="13">
        <f>MAX(H26:H29)</f>
        <v>1</v>
      </c>
      <c r="I30" s="13">
        <f>MAX(K26:K29)</f>
        <v>1</v>
      </c>
      <c r="J30" s="13">
        <f>MAX(K26:K29)</f>
        <v>1</v>
      </c>
      <c r="K30" s="13">
        <f>MAX(K26:K29)</f>
        <v>1</v>
      </c>
      <c r="L30" s="13">
        <f>MAX(N26:N29)</f>
        <v>0.8</v>
      </c>
      <c r="M30" s="13">
        <f>MAX(N26:N29)</f>
        <v>0.8</v>
      </c>
      <c r="N30" s="13">
        <f>MAX(N26:N29)</f>
        <v>0.8</v>
      </c>
    </row>
    <row r="31" spans="1:14" x14ac:dyDescent="0.25">
      <c r="A31" s="6" t="s">
        <v>47</v>
      </c>
      <c r="B31" s="6" t="s">
        <v>48</v>
      </c>
      <c r="C31" s="13">
        <f>MIN(C26:C29)</f>
        <v>0.35</v>
      </c>
      <c r="D31" s="13">
        <f>MIN(C26:C29)</f>
        <v>0.35</v>
      </c>
      <c r="E31" s="13">
        <f>MIN(C26:C29)</f>
        <v>0.35</v>
      </c>
      <c r="F31" s="13">
        <f>MIN(F26:F29)</f>
        <v>0.18</v>
      </c>
      <c r="G31" s="13">
        <f>MIN(F26:F29)</f>
        <v>0.18</v>
      </c>
      <c r="H31" s="13">
        <f>MIN(F26:F29)</f>
        <v>0.18</v>
      </c>
      <c r="I31" s="13">
        <f>MIN(I26:I29)</f>
        <v>0.13999999999999999</v>
      </c>
      <c r="J31" s="13">
        <f>MIN(I26:I29)</f>
        <v>0.13999999999999999</v>
      </c>
      <c r="K31" s="13">
        <f>MIN(I26:I29)</f>
        <v>0.13999999999999999</v>
      </c>
      <c r="L31" s="13">
        <f>MIN(L26:L29)</f>
        <v>8.8888888888888892E-2</v>
      </c>
      <c r="M31" s="13">
        <f>MIN(L26:L29)</f>
        <v>8.8888888888888892E-2</v>
      </c>
      <c r="N31" s="13">
        <f>MIN(L26:L29)</f>
        <v>8.8888888888888892E-2</v>
      </c>
    </row>
    <row r="33" spans="1:14" x14ac:dyDescent="0.25">
      <c r="A33" s="4" t="s">
        <v>49</v>
      </c>
    </row>
    <row r="34" spans="1:14" x14ac:dyDescent="0.25">
      <c r="A34" s="5"/>
      <c r="B34" s="5" t="s">
        <v>21</v>
      </c>
      <c r="C34" s="5" t="s">
        <v>100</v>
      </c>
      <c r="D34" s="5" t="s">
        <v>101</v>
      </c>
      <c r="E34" s="5" t="s">
        <v>102</v>
      </c>
      <c r="F34" s="5" t="s">
        <v>103</v>
      </c>
      <c r="G34" s="5" t="s">
        <v>50</v>
      </c>
      <c r="H34" s="5" t="s">
        <v>104</v>
      </c>
      <c r="I34" s="5" t="s">
        <v>105</v>
      </c>
      <c r="J34" s="5" t="s">
        <v>106</v>
      </c>
      <c r="K34" s="5" t="s">
        <v>107</v>
      </c>
      <c r="L34" s="5" t="s">
        <v>51</v>
      </c>
      <c r="M34" s="5" t="s">
        <v>52</v>
      </c>
      <c r="N34" s="5" t="s">
        <v>53</v>
      </c>
    </row>
    <row r="35" spans="1:14" ht="33.950000000000003" customHeight="1" x14ac:dyDescent="0.25">
      <c r="A35" s="6" t="s">
        <v>23</v>
      </c>
      <c r="B35" s="30" t="str">
        <f>Концепции!$B$4</f>
        <v>Система управления командными задачами и рабочими процессами</v>
      </c>
      <c r="C35" s="14">
        <f>SQRT(((C26-C$30)^2+(D26-D$30)^2+(E26-E$30)^2)/3)</f>
        <v>0.42351702051590168</v>
      </c>
      <c r="D35" s="14">
        <f>SQRT(((F26-F$30)^2+(G26-G$30)^2+(H26-H$30)^2)/3)</f>
        <v>0.45475313250447624</v>
      </c>
      <c r="E35" s="14">
        <f>SQRT(((I26-I$30)^2+(J26-J$30)^2+(K26-K$30)^2)/3)</f>
        <v>0.61542668125455857</v>
      </c>
      <c r="F35" s="14">
        <f>SQRT(((L26-L$30)^2+(M26-M$30)^2+(N26-N$30)^2)/3)</f>
        <v>0.54571954036588466</v>
      </c>
      <c r="G35" s="15">
        <f>SUM(C35:F35)</f>
        <v>2.0394163746408212</v>
      </c>
      <c r="H35" s="14">
        <f>SQRT(((C26-C$31)^2+(D26-D$31)^2+(E26-E$31)^2)/3)</f>
        <v>0.41577237362127206</v>
      </c>
      <c r="I35" s="14">
        <f>SQRT(((F26-F$31)^2+(G26-G$31)^2+(H26-H$31)^2)/3)</f>
        <v>0.54692443486148956</v>
      </c>
      <c r="J35" s="14">
        <f>SQRT(((I26-I$31)^2+(J26-J$31)^2+(K26-K$31)^2)/3)</f>
        <v>0.50828141811402072</v>
      </c>
      <c r="K35" s="14">
        <f>SQRT(((L26-L$31)^2+(M26-M$31)^2+(N26-N$31)^2)/3)</f>
        <v>0.26819296000450105</v>
      </c>
      <c r="L35" s="15">
        <f>SUM(H35:K35)</f>
        <v>1.7391711866012833</v>
      </c>
      <c r="M35" s="16">
        <f>L35/(G35+L35)</f>
        <v>0.46027018255191093</v>
      </c>
      <c r="N35" s="17">
        <f>RANK(M35,$M$35:$M$38)</f>
        <v>3</v>
      </c>
    </row>
    <row r="36" spans="1:14" ht="33.950000000000003" customHeight="1" x14ac:dyDescent="0.25">
      <c r="A36" s="6" t="s">
        <v>24</v>
      </c>
      <c r="B36" s="30" t="str">
        <f>Концепции!$B$5</f>
        <v>Система персонального и семейного финансового учёта</v>
      </c>
      <c r="C36" s="14">
        <f>SQRT(((C27-C$30)^2+(D27-D$30)^2+(E27-E$30)^2)/3)</f>
        <v>0.31421860755425246</v>
      </c>
      <c r="D36" s="14">
        <f>SQRT(((F27-F$30)^2+(G27-G$30)^2+(H27-H$30)^2)/3)</f>
        <v>0.3264877312903619</v>
      </c>
      <c r="E36" s="14">
        <f>SQRT(((I27-I$30)^2+(J27-J$30)^2+(K27-K$30)^2)/3)</f>
        <v>0.71582120672693117</v>
      </c>
      <c r="F36" s="14">
        <f>SQRT(((L27-L$30)^2+(M27-M$30)^2+(N27-N$30)^2)/3)</f>
        <v>0.54571954036588466</v>
      </c>
      <c r="G36" s="15">
        <f>SUM(C36:F36)</f>
        <v>1.9022470859374301</v>
      </c>
      <c r="H36" s="14">
        <f>SQRT(((C27-C$31)^2+(D27-D$31)^2+(E27-E$31)^2)/3)</f>
        <v>0.46679760067935228</v>
      </c>
      <c r="I36" s="14">
        <f>SQRT(((F27-F$31)^2+(G27-G$31)^2+(H27-H$31)^2)/3)</f>
        <v>0.61093869621671493</v>
      </c>
      <c r="J36" s="14">
        <f>SQRT(((I27-I$31)^2+(J27-J$31)^2+(K27-K$31)^2)/3)</f>
        <v>0.21908902300206642</v>
      </c>
      <c r="K36" s="14">
        <f>SQRT(((L27-L$31)^2+(M27-M$31)^2+(N27-N$31)^2)/3)</f>
        <v>0.26819296000450105</v>
      </c>
      <c r="L36" s="15">
        <f>SUM(H36:K36)</f>
        <v>1.5650182799026344</v>
      </c>
      <c r="M36" s="16">
        <f>L36/(G36+L36)</f>
        <v>0.45136962844591932</v>
      </c>
      <c r="N36" s="17">
        <f>RANK(M36,$M$35:$M$38)</f>
        <v>4</v>
      </c>
    </row>
    <row r="37" spans="1:14" ht="33.950000000000003" customHeight="1" x14ac:dyDescent="0.25">
      <c r="A37" s="6" t="s">
        <v>25</v>
      </c>
      <c r="B37" s="30" t="str">
        <f>Концепции!$B$6</f>
        <v>Система онлайн-бронирования услуг и управления записями</v>
      </c>
      <c r="C37" s="14">
        <f>SQRT(((C28-C$30)^2+(D28-D$30)^2+(E28-E$30)^2)/3)</f>
        <v>0.32792275513195684</v>
      </c>
      <c r="D37" s="14">
        <f>SQRT(((F28-F$30)^2+(G28-G$30)^2+(H28-H$30)^2)/3)</f>
        <v>0.40280702320389949</v>
      </c>
      <c r="E37" s="14">
        <f>SQRT(((I28-I$30)^2+(J28-J$30)^2+(K28-K$30)^2)/3)</f>
        <v>0.62415580847335617</v>
      </c>
      <c r="F37" s="14">
        <f>SQRT(((L28-L$30)^2+(M28-M$30)^2+(N28-N$30)^2)/3)</f>
        <v>0.52851911080112168</v>
      </c>
      <c r="G37" s="15">
        <f>SUM(C37:F37)</f>
        <v>1.8834046976103345</v>
      </c>
      <c r="H37" s="14">
        <f>SQRT(((C28-C$31)^2+(D28-D$31)^2+(E28-E$31)^2)/3)</f>
        <v>0.44799553569204237</v>
      </c>
      <c r="I37" s="14">
        <f>SQRT(((F28-F$31)^2+(G28-G$31)^2+(H28-H$31)^2)/3)</f>
        <v>0.57700518145322433</v>
      </c>
      <c r="J37" s="14">
        <f>SQRT(((I28-I$31)^2+(J28-J$31)^2+(K28-K$31)^2)/3)</f>
        <v>0.50795897974431026</v>
      </c>
      <c r="K37" s="14">
        <f>SQRT(((L28-L$31)^2+(M28-M$31)^2+(N28-N$31)^2)/3)</f>
        <v>0.41785447336999693</v>
      </c>
      <c r="L37" s="15">
        <f>SUM(H37:K37)</f>
        <v>1.9508141702595738</v>
      </c>
      <c r="M37" s="16">
        <f>L37/(G37+L37)</f>
        <v>0.5087905092239412</v>
      </c>
      <c r="N37" s="17">
        <f>RANK(M37,$M$35:$M$38)</f>
        <v>1</v>
      </c>
    </row>
    <row r="38" spans="1:14" ht="33.950000000000003" customHeight="1" x14ac:dyDescent="0.25">
      <c r="A38" s="6" t="s">
        <v>26</v>
      </c>
      <c r="B38" s="30" t="str">
        <f>Концепции!$B$7</f>
        <v>Система планирования тренировок и отслеживания физической активности</v>
      </c>
      <c r="C38" s="14">
        <f>SQRT(((C29-C$30)^2+(D29-D$30)^2+(E29-E$30)^2)/3)</f>
        <v>0.41577237362127206</v>
      </c>
      <c r="D38" s="14">
        <f>SQRT(((F29-F$30)^2+(G29-G$30)^2+(H29-H$30)^2)/3)</f>
        <v>0.53416948343857784</v>
      </c>
      <c r="E38" s="14">
        <f>SQRT(((I29-I$30)^2+(J29-J$30)^2+(K29-K$30)^2)/3)</f>
        <v>0.58739595981368664</v>
      </c>
      <c r="F38" s="14">
        <f>SQRT(((L29-L$30)^2+(M29-M$30)^2+(N29-N$30)^2)/3)</f>
        <v>0.50630969642341028</v>
      </c>
      <c r="G38" s="15">
        <f>SUM(C38:F38)</f>
        <v>2.0436475132969467</v>
      </c>
      <c r="H38" s="14">
        <f>SQRT(((C29-C$31)^2+(D29-D$31)^2+(E29-E$31)^2)/3)</f>
        <v>0.42351702051590168</v>
      </c>
      <c r="I38" s="14">
        <f>SQRT(((F29-F$31)^2+(G29-G$31)^2+(H29-H$31)^2)/3)</f>
        <v>0.47647237687606397</v>
      </c>
      <c r="J38" s="14">
        <f>SQRT(((I29-I$31)^2+(J29-J$31)^2+(K29-K$31)^2)/3)</f>
        <v>0.51535074906108669</v>
      </c>
      <c r="K38" s="14">
        <f>SQRT(((L29-L$31)^2+(M29-M$31)^2+(N29-N$31)^2)/3)</f>
        <v>0.42164992841398569</v>
      </c>
      <c r="L38" s="15">
        <f>SUM(H38:K38)</f>
        <v>1.836990074867038</v>
      </c>
      <c r="M38" s="16">
        <f>L38/(G38+L38)</f>
        <v>0.47337326228810728</v>
      </c>
      <c r="N38" s="17">
        <f>RANK(M38,$M$35:$M$38)</f>
        <v>2</v>
      </c>
    </row>
  </sheetData>
  <mergeCells count="24">
    <mergeCell ref="C24:E24"/>
    <mergeCell ref="C4:E4"/>
    <mergeCell ref="F12:H12"/>
    <mergeCell ref="L12:N12"/>
    <mergeCell ref="C16:E16"/>
    <mergeCell ref="I16:K16"/>
    <mergeCell ref="I12:K12"/>
    <mergeCell ref="L4:N4"/>
    <mergeCell ref="C12:E12"/>
    <mergeCell ref="C11:E11"/>
    <mergeCell ref="F13:H13"/>
    <mergeCell ref="I4:K4"/>
    <mergeCell ref="L11:N11"/>
    <mergeCell ref="C13:E13"/>
    <mergeCell ref="I13:K13"/>
    <mergeCell ref="F4:H4"/>
    <mergeCell ref="F11:H11"/>
    <mergeCell ref="F24:H24"/>
    <mergeCell ref="I11:K11"/>
    <mergeCell ref="F16:H16"/>
    <mergeCell ref="L16:N16"/>
    <mergeCell ref="L13:N13"/>
    <mergeCell ref="L24:N24"/>
    <mergeCell ref="I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"/>
  <sheetViews>
    <sheetView workbookViewId="0"/>
  </sheetViews>
  <sheetFormatPr defaultRowHeight="15" x14ac:dyDescent="0.25"/>
  <cols>
    <col min="1" max="1" width="6" customWidth="1"/>
    <col min="2" max="2" width="55" customWidth="1"/>
    <col min="3" max="8" width="14" customWidth="1"/>
  </cols>
  <sheetData>
    <row r="1" spans="1:8" ht="16.5" x14ac:dyDescent="0.25">
      <c r="A1" s="1" t="s">
        <v>54</v>
      </c>
    </row>
    <row r="2" spans="1:8" x14ac:dyDescent="0.25">
      <c r="A2" s="18" t="s">
        <v>108</v>
      </c>
    </row>
    <row r="3" spans="1:8" x14ac:dyDescent="0.25">
      <c r="A3" t="s">
        <v>109</v>
      </c>
    </row>
    <row r="4" spans="1:8" x14ac:dyDescent="0.25">
      <c r="A4" s="4" t="s">
        <v>55</v>
      </c>
    </row>
    <row r="5" spans="1:8" ht="85.5" x14ac:dyDescent="0.25">
      <c r="A5" s="9"/>
      <c r="B5" s="9"/>
      <c r="C5" s="19" t="str">
        <f>Концепции!$B$11</f>
        <v>Пользовательская ценность</v>
      </c>
      <c r="D5" s="19" t="str">
        <f>Концепции!$B$12</f>
        <v>Широта целевой аудитории</v>
      </c>
      <c r="E5" s="19" t="str">
        <f>Концепции!$B$13</f>
        <v>Сложность освоения продукта</v>
      </c>
      <c r="F5" s="19" t="str">
        <f>Концепции!$B$14</f>
        <v>Количество действий для выполнения основных сценариев</v>
      </c>
      <c r="G5" s="5" t="s">
        <v>56</v>
      </c>
      <c r="H5" s="5" t="s">
        <v>57</v>
      </c>
    </row>
    <row r="6" spans="1:8" ht="33.950000000000003" customHeight="1" x14ac:dyDescent="0.25">
      <c r="A6" s="6" t="s">
        <v>82</v>
      </c>
      <c r="B6" s="30" t="str">
        <f>Концепции!$B$11</f>
        <v>Пользовательская ценность</v>
      </c>
      <c r="C6" s="12">
        <v>1</v>
      </c>
      <c r="D6" s="11">
        <v>2</v>
      </c>
      <c r="E6" s="11">
        <v>1</v>
      </c>
      <c r="F6" s="11">
        <v>4</v>
      </c>
      <c r="G6" s="13">
        <f>IF(COUNT(D6,E6,F6,E7,F7,F8)=6,PRODUCT(C6:F6)^(1/4),"")</f>
        <v>1.681792830507429</v>
      </c>
      <c r="H6" s="20">
        <f>IF(COUNT(D6,E6,F6,E7,F7,F8)=6,G6/SUM($G$6:$G$9),"")</f>
        <v>0.37267193949190025</v>
      </c>
    </row>
    <row r="7" spans="1:8" ht="33.950000000000003" customHeight="1" x14ac:dyDescent="0.25">
      <c r="A7" s="6" t="s">
        <v>86</v>
      </c>
      <c r="B7" s="30" t="str">
        <f>Концепции!$B$12</f>
        <v>Широта целевой аудитории</v>
      </c>
      <c r="C7" s="12">
        <f>IF(D6="","",1/D6)</f>
        <v>0.5</v>
      </c>
      <c r="D7" s="12">
        <v>1</v>
      </c>
      <c r="E7" s="11">
        <v>1</v>
      </c>
      <c r="F7" s="11">
        <v>3</v>
      </c>
      <c r="G7" s="13">
        <f>IF(COUNT(D6,E6,F6,E7,F7,F8)=6,PRODUCT(C7:F7)^(1/4),"")</f>
        <v>1.1066819197003217</v>
      </c>
      <c r="H7" s="20">
        <f>IF(COUNT(D6,E6,F6,E7,F7,F8)=6,G7/SUM($G$6:$G$9),"")</f>
        <v>0.24523192746094685</v>
      </c>
    </row>
    <row r="8" spans="1:8" ht="33.950000000000003" customHeight="1" x14ac:dyDescent="0.25">
      <c r="A8" s="6" t="s">
        <v>88</v>
      </c>
      <c r="B8" s="30" t="str">
        <f>Концепции!$B$13</f>
        <v>Сложность освоения продукта</v>
      </c>
      <c r="C8" s="12">
        <f>IF(E6="","",1/E6)</f>
        <v>1</v>
      </c>
      <c r="D8" s="12">
        <f>IF(E7="","",1/E7)</f>
        <v>1</v>
      </c>
      <c r="E8" s="12">
        <v>1</v>
      </c>
      <c r="F8" s="11">
        <v>3</v>
      </c>
      <c r="G8" s="13">
        <f>IF(COUNT(D6,E6,F6,E7,F7,F8)=6,PRODUCT(C8:F8)^(1/4),"")</f>
        <v>1.3160740129524926</v>
      </c>
      <c r="H8" s="20">
        <f>IF(COUNT(D6,E6,F6,E7,F7,F8)=6,G8/SUM($G$6:$G$9),"")</f>
        <v>0.29163155296238918</v>
      </c>
    </row>
    <row r="9" spans="1:8" ht="33.950000000000003" customHeight="1" x14ac:dyDescent="0.25">
      <c r="A9" s="6" t="s">
        <v>92</v>
      </c>
      <c r="B9" s="30" t="str">
        <f>Концепции!$B$14</f>
        <v>Количество действий для выполнения основных сценариев</v>
      </c>
      <c r="C9" s="12">
        <f>IF(F6="","",1/F6)</f>
        <v>0.25</v>
      </c>
      <c r="D9" s="12">
        <f>IF(F7="","",1/F7)</f>
        <v>0.33333333333333331</v>
      </c>
      <c r="E9" s="12">
        <f>IF(F8="","",1/F8)</f>
        <v>0.33333333333333331</v>
      </c>
      <c r="F9" s="12">
        <v>1</v>
      </c>
      <c r="G9" s="13">
        <f>IF(COUNT(D6,E6,F6,E7,F7,F8)=6,PRODUCT(C9:F9)^(1/4),"")</f>
        <v>0.40824829046386302</v>
      </c>
      <c r="H9" s="20">
        <f>IF(COUNT(D6,E6,F6,E7,F7,F8)=6,G9/SUM($G$6:$G$9),"")</f>
        <v>9.0464580084763546E-2</v>
      </c>
    </row>
    <row r="10" spans="1:8" x14ac:dyDescent="0.25">
      <c r="B10" s="6" t="s">
        <v>58</v>
      </c>
      <c r="C10" s="12">
        <f>IF(COUNT(D6,E6,F6,E7,F7,F8)=6,SUM(C6:C9),"")</f>
        <v>2.75</v>
      </c>
      <c r="D10" s="12">
        <f>IF(COUNT(D6,E6,F6,E7,F7,F8)=6,SUM(D6:D9),"")</f>
        <v>4.333333333333333</v>
      </c>
      <c r="E10" s="12">
        <f>IF(COUNT(D6,E6,F6,E7,F7,F8)=6,SUM(E6:E9),"")</f>
        <v>3.3333333333333335</v>
      </c>
      <c r="F10" s="12">
        <f>IF(COUNT(D6,E6,F6,E7,F7,F8)=6,SUM(F6:F9),"")</f>
        <v>11</v>
      </c>
    </row>
    <row r="11" spans="1:8" x14ac:dyDescent="0.25">
      <c r="B11" s="6" t="s">
        <v>59</v>
      </c>
      <c r="C11" s="13">
        <f>IF(COUNT(D6,E6,F6,E7,F7,F8)=6,C10*H6+D10*H7+E10*H8+F10*H9,"")</f>
        <v>4.054735076740525</v>
      </c>
    </row>
    <row r="12" spans="1:8" x14ac:dyDescent="0.25">
      <c r="B12" s="6" t="s">
        <v>60</v>
      </c>
      <c r="C12" s="13">
        <f>IF(COUNT(D6,E6,F6,E7,F7,F8)=6,(C11-4)/(4-1),"")</f>
        <v>1.8245025580175007E-2</v>
      </c>
    </row>
    <row r="13" spans="1:8" x14ac:dyDescent="0.25">
      <c r="B13" s="6" t="s">
        <v>61</v>
      </c>
      <c r="C13" s="21">
        <f>IF(COUNT(D6,E6,F6,E7,F7,F8)=6,C12/0.9,"")</f>
        <v>2.0272250644638896E-2</v>
      </c>
      <c r="D13" s="6" t="str">
        <f>IF(COUNT(D6,E6,F6,E7,F7,F8)=6,IF(C13&lt;=0.1,"согласовано","пересмотреть"),"ожидает сравнений")</f>
        <v>согласовано</v>
      </c>
    </row>
    <row r="16" spans="1:8" x14ac:dyDescent="0.25">
      <c r="A16" s="4" t="s">
        <v>110</v>
      </c>
      <c r="E16" s="22" t="str">
        <f>Концепции!$B$11</f>
        <v>Пользовательская ценность</v>
      </c>
    </row>
    <row r="17" spans="1:8" ht="114" x14ac:dyDescent="0.25">
      <c r="A17" s="9"/>
      <c r="B17" s="9"/>
      <c r="C17" s="19" t="str">
        <f>Концепции!$B$4</f>
        <v>Система управления командными задачами и рабочими процессами</v>
      </c>
      <c r="D17" s="19" t="str">
        <f>Концепции!$B$5</f>
        <v>Система персонального и семейного финансового учёта</v>
      </c>
      <c r="E17" s="19" t="str">
        <f>Концепции!$B$6</f>
        <v>Система онлайн-бронирования услуг и управления записями</v>
      </c>
      <c r="F17" s="19" t="str">
        <f>Концепции!$B$7</f>
        <v>Система планирования тренировок и отслеживания физической активности</v>
      </c>
      <c r="G17" s="5" t="s">
        <v>56</v>
      </c>
      <c r="H17" s="5" t="s">
        <v>57</v>
      </c>
    </row>
    <row r="18" spans="1:8" ht="33.950000000000003" customHeight="1" x14ac:dyDescent="0.25">
      <c r="A18" s="6" t="s">
        <v>23</v>
      </c>
      <c r="B18" s="30" t="str">
        <f>Концепции!$B$4</f>
        <v>Система управления командными задачами и рабочими процессами</v>
      </c>
      <c r="C18" s="12">
        <v>1</v>
      </c>
      <c r="D18" s="11">
        <v>0.33333333333333331</v>
      </c>
      <c r="E18" s="11">
        <v>0.5</v>
      </c>
      <c r="F18" s="11">
        <v>1</v>
      </c>
      <c r="G18" s="13">
        <f>IF(COUNT(D18,E18,F18,E19,F19,F20)=6,PRODUCT(C18:F18)^(1/4),"")</f>
        <v>0.63894310424627243</v>
      </c>
      <c r="H18" s="20">
        <f>IF(COUNT(D18,E18,F18,E19,F19,F20)=6,G18/SUM($G$18:$G$21),"")</f>
        <v>0.14533104539091343</v>
      </c>
    </row>
    <row r="19" spans="1:8" ht="33.950000000000003" customHeight="1" x14ac:dyDescent="0.25">
      <c r="A19" s="6" t="s">
        <v>24</v>
      </c>
      <c r="B19" s="30" t="str">
        <f>Концепции!$B$5</f>
        <v>Система персонального и семейного финансового учёта</v>
      </c>
      <c r="C19" s="12">
        <f>IF(D18="","",1/D18)</f>
        <v>3</v>
      </c>
      <c r="D19" s="12">
        <v>1</v>
      </c>
      <c r="E19" s="11">
        <v>2</v>
      </c>
      <c r="F19" s="11">
        <v>2</v>
      </c>
      <c r="G19" s="13">
        <f>IF(COUNT(D18,E18,F18,E19,F19,F20)=6,PRODUCT(C19:F19)^(1/4),"")</f>
        <v>1.8612097182041991</v>
      </c>
      <c r="H19" s="20">
        <f>IF(COUNT(D18,E18,F18,E19,F19,F20)=6,G19/SUM($G$18:$G$21),"")</f>
        <v>0.42334216026547206</v>
      </c>
    </row>
    <row r="20" spans="1:8" ht="33.950000000000003" customHeight="1" x14ac:dyDescent="0.25">
      <c r="A20" s="6" t="s">
        <v>25</v>
      </c>
      <c r="B20" s="30" t="str">
        <f>Концепции!$B$6</f>
        <v>Система онлайн-бронирования услуг и управления записями</v>
      </c>
      <c r="C20" s="12">
        <f>IF(E18="","",1/E18)</f>
        <v>2</v>
      </c>
      <c r="D20" s="12">
        <f>IF(E19="","",1/E19)</f>
        <v>0.5</v>
      </c>
      <c r="E20" s="12">
        <v>1</v>
      </c>
      <c r="F20" s="11">
        <v>2</v>
      </c>
      <c r="G20" s="13">
        <f>IF(COUNT(D18,E18,F18,E19,F19,F20)=6,PRODUCT(C20:F20)^(1/4),"")</f>
        <v>1.189207115002721</v>
      </c>
      <c r="H20" s="20">
        <f>IF(COUNT(D18,E18,F18,E19,F19,F20)=6,G20/SUM($G$18:$G$21),"")</f>
        <v>0.27049155403834368</v>
      </c>
    </row>
    <row r="21" spans="1:8" ht="33.950000000000003" customHeight="1" x14ac:dyDescent="0.25">
      <c r="A21" s="6" t="s">
        <v>26</v>
      </c>
      <c r="B21" s="30" t="str">
        <f>Концепции!$B$7</f>
        <v>Система планирования тренировок и отслеживания физической активности</v>
      </c>
      <c r="C21" s="12">
        <f>IF(F18="","",1/F18)</f>
        <v>1</v>
      </c>
      <c r="D21" s="12">
        <f>IF(F19="","",1/F19)</f>
        <v>0.5</v>
      </c>
      <c r="E21" s="12">
        <f>IF(F20="","",1/F20)</f>
        <v>0.5</v>
      </c>
      <c r="F21" s="12">
        <v>1</v>
      </c>
      <c r="G21" s="13">
        <f>IF(COUNT(D18,E18,F18,E19,F19,F20)=6,PRODUCT(C21:F21)^(1/4),"")</f>
        <v>0.70710678118654757</v>
      </c>
      <c r="H21" s="20">
        <f>IF(COUNT(D18,E18,F18,E19,F19,F20)=6,G21/SUM($G$18:$G$21),"")</f>
        <v>0.16083524030527069</v>
      </c>
    </row>
    <row r="22" spans="1:8" x14ac:dyDescent="0.25">
      <c r="B22" s="6" t="s">
        <v>58</v>
      </c>
      <c r="C22" s="12">
        <f>IF(COUNT(D18,E18,F18,E19,F19,F20)=6,SUM(C18:C21),"")</f>
        <v>7</v>
      </c>
      <c r="D22" s="12">
        <f>IF(COUNT(D18,E18,F18,E19,F19,F20)=6,SUM(D18:D21),"")</f>
        <v>2.333333333333333</v>
      </c>
      <c r="E22" s="12">
        <f>IF(COUNT(D18,E18,F18,E19,F19,F20)=6,SUM(E18:E21),"")</f>
        <v>4</v>
      </c>
      <c r="F22" s="12">
        <f>IF(COUNT(D18,E18,F18,E19,F19,F20)=6,SUM(F18:F21),"")</f>
        <v>6</v>
      </c>
    </row>
    <row r="23" spans="1:8" x14ac:dyDescent="0.25">
      <c r="B23" s="6" t="s">
        <v>59</v>
      </c>
      <c r="C23" s="13">
        <f>IF(COUNT(D18,E18,F18,E19,F19,F20)=6,C22*H18+D22*H19+E22*H20+F22*H21,"")</f>
        <v>4.0520933496741609</v>
      </c>
    </row>
    <row r="24" spans="1:8" x14ac:dyDescent="0.25">
      <c r="B24" s="6" t="s">
        <v>60</v>
      </c>
      <c r="C24" s="13">
        <f>IF(COUNT(D18,E18,F18,E19,F19,F20)=6,(C23-4)/(4-1),"")</f>
        <v>1.7364449891386968E-2</v>
      </c>
    </row>
    <row r="25" spans="1:8" x14ac:dyDescent="0.25">
      <c r="B25" s="6" t="s">
        <v>61</v>
      </c>
      <c r="C25" s="21">
        <f>IF(COUNT(D18,E18,F18,E19,F19,F20)=6,C24/0.9,"")</f>
        <v>1.9293833212652187E-2</v>
      </c>
      <c r="D25" s="6" t="str">
        <f>IF(COUNT(D18,E18,F18,E19,F19,F20)=6,IF(C25&lt;=0.1,"согласовано","пересмотреть"),"ожидает сравнений")</f>
        <v>согласовано</v>
      </c>
    </row>
    <row r="29" spans="1:8" x14ac:dyDescent="0.25">
      <c r="A29" s="4" t="s">
        <v>111</v>
      </c>
      <c r="E29" s="22" t="str">
        <f>Концепции!$B$12</f>
        <v>Широта целевой аудитории</v>
      </c>
    </row>
    <row r="30" spans="1:8" ht="114" x14ac:dyDescent="0.25">
      <c r="A30" s="9"/>
      <c r="B30" s="9"/>
      <c r="C30" s="19" t="str">
        <f>Концепции!$B$4</f>
        <v>Система управления командными задачами и рабочими процессами</v>
      </c>
      <c r="D30" s="19" t="str">
        <f>Концепции!$B$5</f>
        <v>Система персонального и семейного финансового учёта</v>
      </c>
      <c r="E30" s="19" t="str">
        <f>Концепции!$B$6</f>
        <v>Система онлайн-бронирования услуг и управления записями</v>
      </c>
      <c r="F30" s="19" t="str">
        <f>Концепции!$B$7</f>
        <v>Система планирования тренировок и отслеживания физической активности</v>
      </c>
      <c r="G30" s="5" t="s">
        <v>56</v>
      </c>
      <c r="H30" s="5" t="s">
        <v>57</v>
      </c>
    </row>
    <row r="31" spans="1:8" ht="33.950000000000003" customHeight="1" x14ac:dyDescent="0.25">
      <c r="A31" s="6" t="s">
        <v>23</v>
      </c>
      <c r="B31" s="30" t="str">
        <f>Концепции!$B$4</f>
        <v>Система управления командными задачами и рабочими процессами</v>
      </c>
      <c r="C31" s="12">
        <v>1</v>
      </c>
      <c r="D31" s="11">
        <v>0.33333333333333331</v>
      </c>
      <c r="E31" s="11">
        <v>0.5</v>
      </c>
      <c r="F31" s="11">
        <v>2</v>
      </c>
      <c r="G31" s="13">
        <f>IF(COUNT(D31,E31,F31,E32,F32,F33)=6,PRODUCT(C31:F31)^(1/4),"")</f>
        <v>0.75983568565159254</v>
      </c>
      <c r="H31" s="20">
        <f>IF(COUNT(D31,E31,F31,E32,F32,F33)=6,G31/SUM($G$31:$G$34),"")</f>
        <v>0.16442500784622124</v>
      </c>
    </row>
    <row r="32" spans="1:8" ht="33.950000000000003" customHeight="1" x14ac:dyDescent="0.25">
      <c r="A32" s="6" t="s">
        <v>24</v>
      </c>
      <c r="B32" s="30" t="str">
        <f>Концепции!$B$5</f>
        <v>Система персонального и семейного финансового учёта</v>
      </c>
      <c r="C32" s="12">
        <f>IF(D31="","",1/D31)</f>
        <v>3</v>
      </c>
      <c r="D32" s="12">
        <v>1</v>
      </c>
      <c r="E32" s="11">
        <v>2</v>
      </c>
      <c r="F32" s="11">
        <v>3</v>
      </c>
      <c r="G32" s="13">
        <f>IF(COUNT(D31,E31,F31,E32,F32,F33)=6,PRODUCT(C32:F32)^(1/4),"")</f>
        <v>2.0597671439071177</v>
      </c>
      <c r="H32" s="20">
        <f>IF(COUNT(D31,E31,F31,E32,F32,F33)=6,G32/SUM($G$31:$G$34),"")</f>
        <v>0.44572429960022986</v>
      </c>
    </row>
    <row r="33" spans="1:8" ht="33.950000000000003" customHeight="1" x14ac:dyDescent="0.25">
      <c r="A33" s="6" t="s">
        <v>25</v>
      </c>
      <c r="B33" s="30" t="str">
        <f>Концепции!$B$6</f>
        <v>Система онлайн-бронирования услуг и управления записями</v>
      </c>
      <c r="C33" s="12">
        <f>IF(E31="","",1/E31)</f>
        <v>2</v>
      </c>
      <c r="D33" s="12">
        <f>IF(E32="","",1/E32)</f>
        <v>0.5</v>
      </c>
      <c r="E33" s="12">
        <v>1</v>
      </c>
      <c r="F33" s="11">
        <v>3</v>
      </c>
      <c r="G33" s="13">
        <f>IF(COUNT(D31,E31,F31,E32,F32,F33)=6,PRODUCT(C33:F33)^(1/4),"")</f>
        <v>1.3160740129524926</v>
      </c>
      <c r="H33" s="20">
        <f>IF(COUNT(D31,E31,F31,E32,F32,F33)=6,G33/SUM($G$31:$G$34),"")</f>
        <v>0.2847924676245665</v>
      </c>
    </row>
    <row r="34" spans="1:8" ht="33.950000000000003" customHeight="1" x14ac:dyDescent="0.25">
      <c r="A34" s="6" t="s">
        <v>26</v>
      </c>
      <c r="B34" s="30" t="str">
        <f>Концепции!$B$7</f>
        <v>Система планирования тренировок и отслеживания физической активности</v>
      </c>
      <c r="C34" s="12">
        <f>IF(F31="","",1/F31)</f>
        <v>0.5</v>
      </c>
      <c r="D34" s="12">
        <f>IF(F32="","",1/F32)</f>
        <v>0.33333333333333331</v>
      </c>
      <c r="E34" s="12">
        <f>IF(F33="","",1/F33)</f>
        <v>0.33333333333333331</v>
      </c>
      <c r="F34" s="12">
        <v>1</v>
      </c>
      <c r="G34" s="13">
        <f>IF(COUNT(D31,E31,F31,E32,F32,F33)=6,PRODUCT(C34:F34)^(1/4),"")</f>
        <v>0.48549177170732338</v>
      </c>
      <c r="H34" s="20">
        <f>IF(COUNT(D31,E31,F31,E32,F32,F33)=6,G34/SUM($G$31:$G$34),"")</f>
        <v>0.1050582249289823</v>
      </c>
    </row>
    <row r="35" spans="1:8" x14ac:dyDescent="0.25">
      <c r="B35" s="6" t="s">
        <v>58</v>
      </c>
      <c r="C35" s="12">
        <f>IF(COUNT(D31,E31,F31,E32,F32,F33)=6,SUM(C31:C34),"")</f>
        <v>6.5</v>
      </c>
      <c r="D35" s="12">
        <f>IF(COUNT(D31,E31,F31,E32,F32,F33)=6,SUM(D31:D34),"")</f>
        <v>2.1666666666666665</v>
      </c>
      <c r="E35" s="12">
        <f>IF(COUNT(D31,E31,F31,E32,F32,F33)=6,SUM(E31:E34),"")</f>
        <v>3.8333333333333335</v>
      </c>
      <c r="F35" s="12">
        <f>IF(COUNT(D31,E31,F31,E32,F32,F33)=6,SUM(F31:F34),"")</f>
        <v>9</v>
      </c>
    </row>
    <row r="36" spans="1:8" x14ac:dyDescent="0.25">
      <c r="B36" s="6" t="s">
        <v>59</v>
      </c>
      <c r="C36" s="13">
        <f>IF(COUNT(D31,E31,F31,E32,F32,F33)=6,C35*H31+D35*H32+E35*H33+F35*H34,"")</f>
        <v>4.0717270170559487</v>
      </c>
    </row>
    <row r="37" spans="1:8" x14ac:dyDescent="0.25">
      <c r="B37" s="6" t="s">
        <v>60</v>
      </c>
      <c r="C37" s="13">
        <f>IF(COUNT(D31,E31,F31,E32,F32,F33)=6,(C36-4)/(4-1),"")</f>
        <v>2.3909005685316249E-2</v>
      </c>
    </row>
    <row r="38" spans="1:8" x14ac:dyDescent="0.25">
      <c r="B38" s="6" t="s">
        <v>61</v>
      </c>
      <c r="C38" s="21">
        <f>IF(COUNT(D31,E31,F31,E32,F32,F33)=6,C37/0.9,"")</f>
        <v>2.6565561872573609E-2</v>
      </c>
      <c r="D38" s="6" t="str">
        <f>IF(COUNT(D31,E31,F31,E32,F32,F33)=6,IF(C38&lt;=0.1,"согласовано","пересмотреть"),"ожидает сравнений")</f>
        <v>согласовано</v>
      </c>
    </row>
    <row r="42" spans="1:8" x14ac:dyDescent="0.25">
      <c r="A42" s="4" t="s">
        <v>112</v>
      </c>
      <c r="E42" s="22" t="str">
        <f>Концепции!$B$13</f>
        <v>Сложность освоения продукта</v>
      </c>
    </row>
    <row r="43" spans="1:8" ht="114" x14ac:dyDescent="0.25">
      <c r="A43" s="9"/>
      <c r="B43" s="9"/>
      <c r="C43" s="19" t="str">
        <f>Концепции!$B$4</f>
        <v>Система управления командными задачами и рабочими процессами</v>
      </c>
      <c r="D43" s="19" t="str">
        <f>Концепции!$B$5</f>
        <v>Система персонального и семейного финансового учёта</v>
      </c>
      <c r="E43" s="19" t="str">
        <f>Концепции!$B$6</f>
        <v>Система онлайн-бронирования услуг и управления записями</v>
      </c>
      <c r="F43" s="19" t="str">
        <f>Концепции!$B$7</f>
        <v>Система планирования тренировок и отслеживания физической активности</v>
      </c>
      <c r="G43" s="5" t="s">
        <v>56</v>
      </c>
      <c r="H43" s="5" t="s">
        <v>57</v>
      </c>
    </row>
    <row r="44" spans="1:8" ht="33.950000000000003" customHeight="1" x14ac:dyDescent="0.25">
      <c r="A44" s="6" t="s">
        <v>23</v>
      </c>
      <c r="B44" s="30" t="str">
        <f>Концепции!$B$4</f>
        <v>Система управления командными задачами и рабочими процессами</v>
      </c>
      <c r="C44" s="12">
        <v>1</v>
      </c>
      <c r="D44" s="11">
        <v>2</v>
      </c>
      <c r="E44" s="11">
        <v>1</v>
      </c>
      <c r="F44" s="11">
        <v>0.5</v>
      </c>
      <c r="G44" s="13">
        <f>IF(COUNT(D44,E44,F44,E45,F45,F46)=6,PRODUCT(C44:F44)^(1/4),"")</f>
        <v>1</v>
      </c>
      <c r="H44" s="20">
        <f>IF(COUNT(D44,E44,F44,E45,F45,F46)=6,G44/SUM($G$44:$G$47),"")</f>
        <v>0.22735050780241753</v>
      </c>
    </row>
    <row r="45" spans="1:8" ht="33.950000000000003" customHeight="1" x14ac:dyDescent="0.25">
      <c r="A45" s="6" t="s">
        <v>24</v>
      </c>
      <c r="B45" s="30" t="str">
        <f>Концепции!$B$5</f>
        <v>Система персонального и семейного финансового учёта</v>
      </c>
      <c r="C45" s="12">
        <f>IF(D44="","",1/D44)</f>
        <v>0.5</v>
      </c>
      <c r="D45" s="12">
        <v>1</v>
      </c>
      <c r="E45" s="11">
        <v>0.5</v>
      </c>
      <c r="F45" s="11">
        <v>0.33333333333333331</v>
      </c>
      <c r="G45" s="13">
        <f>IF(COUNT(D44,E44,F44,E45,F45,F46)=6,PRODUCT(C45:F45)^(1/4),"")</f>
        <v>0.537284965911771</v>
      </c>
      <c r="H45" s="20">
        <f>IF(COUNT(D44,E44,F44,E45,F45,F46)=6,G45/SUM($G$44:$G$47),"")</f>
        <v>0.12215200983464573</v>
      </c>
    </row>
    <row r="46" spans="1:8" ht="33.950000000000003" customHeight="1" x14ac:dyDescent="0.25">
      <c r="A46" s="6" t="s">
        <v>25</v>
      </c>
      <c r="B46" s="30" t="str">
        <f>Концепции!$B$6</f>
        <v>Система онлайн-бронирования услуг и управления записями</v>
      </c>
      <c r="C46" s="12">
        <f>IF(E44="","",1/E44)</f>
        <v>1</v>
      </c>
      <c r="D46" s="12">
        <f>IF(E45="","",1/E45)</f>
        <v>2</v>
      </c>
      <c r="E46" s="12">
        <v>1</v>
      </c>
      <c r="F46" s="11">
        <v>0.5</v>
      </c>
      <c r="G46" s="13">
        <f>IF(COUNT(D44,E44,F44,E45,F45,F46)=6,PRODUCT(C46:F46)^(1/4),"")</f>
        <v>1</v>
      </c>
      <c r="H46" s="20">
        <f>IF(COUNT(D44,E44,F44,E45,F45,F46)=6,G46/SUM($G$44:$G$47),"")</f>
        <v>0.22735050780241753</v>
      </c>
    </row>
    <row r="47" spans="1:8" ht="33.950000000000003" customHeight="1" x14ac:dyDescent="0.25">
      <c r="A47" s="6" t="s">
        <v>26</v>
      </c>
      <c r="B47" s="30" t="str">
        <f>Концепции!$B$7</f>
        <v>Система планирования тренировок и отслеживания физической активности</v>
      </c>
      <c r="C47" s="12">
        <f>IF(F44="","",1/F44)</f>
        <v>2</v>
      </c>
      <c r="D47" s="12">
        <f>IF(F45="","",1/F45)</f>
        <v>3</v>
      </c>
      <c r="E47" s="12">
        <f>IF(F46="","",1/F46)</f>
        <v>2</v>
      </c>
      <c r="F47" s="12">
        <v>1</v>
      </c>
      <c r="G47" s="13">
        <f>IF(COUNT(D44,E44,F44,E45,F45,F46)=6,PRODUCT(C47:F47)^(1/4),"")</f>
        <v>1.8612097182041991</v>
      </c>
      <c r="H47" s="20">
        <f>IF(COUNT(D44,E44,F44,E45,F45,F46)=6,G47/SUM($G$44:$G$47),"")</f>
        <v>0.42314697456051914</v>
      </c>
    </row>
    <row r="48" spans="1:8" x14ac:dyDescent="0.25">
      <c r="B48" s="6" t="s">
        <v>58</v>
      </c>
      <c r="C48" s="12">
        <f>IF(COUNT(D44,E44,F44,E45,F45,F46)=6,SUM(C44:C47),"")</f>
        <v>4.5</v>
      </c>
      <c r="D48" s="12">
        <f>IF(COUNT(D44,E44,F44,E45,F45,F46)=6,SUM(D44:D47),"")</f>
        <v>8</v>
      </c>
      <c r="E48" s="12">
        <f>IF(COUNT(D44,E44,F44,E45,F45,F46)=6,SUM(E44:E47),"")</f>
        <v>4.5</v>
      </c>
      <c r="F48" s="12">
        <f>IF(COUNT(D44,E44,F44,E45,F45,F46)=6,SUM(F44:F47),"")</f>
        <v>2.333333333333333</v>
      </c>
    </row>
    <row r="49" spans="1:8" x14ac:dyDescent="0.25">
      <c r="B49" s="6" t="s">
        <v>59</v>
      </c>
      <c r="C49" s="13">
        <f>IF(COUNT(D44,E44,F44,E45,F45,F46)=6,C48*H44+D48*H45+E48*H46+F48*H47,"")</f>
        <v>4.0107135895401349</v>
      </c>
    </row>
    <row r="50" spans="1:8" x14ac:dyDescent="0.25">
      <c r="B50" s="6" t="s">
        <v>60</v>
      </c>
      <c r="C50" s="13">
        <f>IF(COUNT(D44,E44,F44,E45,F45,F46)=6,(C49-4)/(4-1),"")</f>
        <v>3.5711965133783017E-3</v>
      </c>
    </row>
    <row r="51" spans="1:8" x14ac:dyDescent="0.25">
      <c r="B51" s="6" t="s">
        <v>61</v>
      </c>
      <c r="C51" s="21">
        <f>IF(COUNT(D44,E44,F44,E45,F45,F46)=6,C50/0.9,"")</f>
        <v>3.9679961259758909E-3</v>
      </c>
      <c r="D51" s="6" t="str">
        <f>IF(COUNT(D44,E44,F44,E45,F45,F46)=6,IF(C51&lt;=0.1,"согласовано","пересмотреть"),"ожидает сравнений")</f>
        <v>согласовано</v>
      </c>
    </row>
    <row r="55" spans="1:8" x14ac:dyDescent="0.25">
      <c r="A55" s="4" t="s">
        <v>113</v>
      </c>
      <c r="E55" s="22" t="str">
        <f>Концепции!$B$14</f>
        <v>Количество действий для выполнения основных сценариев</v>
      </c>
    </row>
    <row r="56" spans="1:8" ht="114" x14ac:dyDescent="0.25">
      <c r="A56" s="9"/>
      <c r="B56" s="9"/>
      <c r="C56" s="19" t="str">
        <f>Концепции!$B$4</f>
        <v>Система управления командными задачами и рабочими процессами</v>
      </c>
      <c r="D56" s="19" t="str">
        <f>Концепции!$B$5</f>
        <v>Система персонального и семейного финансового учёта</v>
      </c>
      <c r="E56" s="19" t="str">
        <f>Концепции!$B$6</f>
        <v>Система онлайн-бронирования услуг и управления записями</v>
      </c>
      <c r="F56" s="19" t="str">
        <f>Концепции!$B$7</f>
        <v>Система планирования тренировок и отслеживания физической активности</v>
      </c>
      <c r="G56" s="5" t="s">
        <v>56</v>
      </c>
      <c r="H56" s="5" t="s">
        <v>57</v>
      </c>
    </row>
    <row r="57" spans="1:8" ht="33.950000000000003" customHeight="1" x14ac:dyDescent="0.25">
      <c r="A57" s="6" t="s">
        <v>23</v>
      </c>
      <c r="B57" s="30" t="str">
        <f>Концепции!$B$4</f>
        <v>Система управления командными задачами и рабочими процессами</v>
      </c>
      <c r="C57" s="12">
        <v>1</v>
      </c>
      <c r="D57" s="11">
        <v>1</v>
      </c>
      <c r="E57" s="11">
        <v>1</v>
      </c>
      <c r="F57" s="11">
        <v>0.5</v>
      </c>
      <c r="G57" s="13">
        <f>IF(COUNT(D57,E57,F57,E58,F58,F59)=6,PRODUCT(C57:F57)^(1/4),"")</f>
        <v>0.8408964152537145</v>
      </c>
      <c r="H57" s="20">
        <f>IF(COUNT(D57,E57,F57,E58,F58,F59)=6,G57/SUM($G$57:$G$60),"")</f>
        <v>0.2</v>
      </c>
    </row>
    <row r="58" spans="1:8" ht="33.950000000000003" customHeight="1" x14ac:dyDescent="0.25">
      <c r="A58" s="6" t="s">
        <v>24</v>
      </c>
      <c r="B58" s="30" t="str">
        <f>Концепции!$B$5</f>
        <v>Система персонального и семейного финансового учёта</v>
      </c>
      <c r="C58" s="12">
        <f>IF(D57="","",1/D57)</f>
        <v>1</v>
      </c>
      <c r="D58" s="12">
        <v>1</v>
      </c>
      <c r="E58" s="11">
        <v>1</v>
      </c>
      <c r="F58" s="11">
        <v>0.5</v>
      </c>
      <c r="G58" s="13">
        <f>IF(COUNT(D57,E57,F57,E58,F58,F59)=6,PRODUCT(C58:F58)^(1/4),"")</f>
        <v>0.8408964152537145</v>
      </c>
      <c r="H58" s="20">
        <f>IF(COUNT(D57,E57,F57,E58,F58,F59)=6,G58/SUM($G$57:$G$60),"")</f>
        <v>0.2</v>
      </c>
    </row>
    <row r="59" spans="1:8" ht="33.950000000000003" customHeight="1" x14ac:dyDescent="0.25">
      <c r="A59" s="6" t="s">
        <v>25</v>
      </c>
      <c r="B59" s="30" t="str">
        <f>Концепции!$B$6</f>
        <v>Система онлайн-бронирования услуг и управления записями</v>
      </c>
      <c r="C59" s="12">
        <f>IF(E57="","",1/E57)</f>
        <v>1</v>
      </c>
      <c r="D59" s="12">
        <f>IF(E58="","",1/E58)</f>
        <v>1</v>
      </c>
      <c r="E59" s="12">
        <v>1</v>
      </c>
      <c r="F59" s="11">
        <v>0.5</v>
      </c>
      <c r="G59" s="13">
        <f>IF(COUNT(D57,E57,F57,E58,F58,F59)=6,PRODUCT(C59:F59)^(1/4),"")</f>
        <v>0.8408964152537145</v>
      </c>
      <c r="H59" s="20">
        <f>IF(COUNT(D57,E57,F57,E58,F58,F59)=6,G59/SUM($G$57:$G$60),"")</f>
        <v>0.2</v>
      </c>
    </row>
    <row r="60" spans="1:8" ht="33.950000000000003" customHeight="1" x14ac:dyDescent="0.25">
      <c r="A60" s="6" t="s">
        <v>26</v>
      </c>
      <c r="B60" s="30" t="str">
        <f>Концепции!$B$7</f>
        <v>Система планирования тренировок и отслеживания физической активности</v>
      </c>
      <c r="C60" s="12">
        <f>IF(F57="","",1/F57)</f>
        <v>2</v>
      </c>
      <c r="D60" s="12">
        <f>IF(F58="","",1/F58)</f>
        <v>2</v>
      </c>
      <c r="E60" s="12">
        <f>IF(F59="","",1/F59)</f>
        <v>2</v>
      </c>
      <c r="F60" s="12">
        <v>1</v>
      </c>
      <c r="G60" s="13">
        <f>IF(COUNT(D57,E57,F57,E58,F58,F59)=6,PRODUCT(C60:F60)^(1/4),"")</f>
        <v>1.681792830507429</v>
      </c>
      <c r="H60" s="20">
        <f>IF(COUNT(D57,E57,F57,E58,F58,F59)=6,G60/SUM($G$57:$G$60),"")</f>
        <v>0.4</v>
      </c>
    </row>
    <row r="61" spans="1:8" x14ac:dyDescent="0.25">
      <c r="B61" s="6" t="s">
        <v>58</v>
      </c>
      <c r="C61" s="12">
        <f>IF(COUNT(D57,E57,F57,E58,F58,F59)=6,SUM(C57:C60),"")</f>
        <v>5</v>
      </c>
      <c r="D61" s="12">
        <f>IF(COUNT(D57,E57,F57,E58,F58,F59)=6,SUM(D57:D60),"")</f>
        <v>5</v>
      </c>
      <c r="E61" s="12">
        <f>IF(COUNT(D57,E57,F57,E58,F58,F59)=6,SUM(E57:E60),"")</f>
        <v>5</v>
      </c>
      <c r="F61" s="12">
        <f>IF(COUNT(D57,E57,F57,E58,F58,F59)=6,SUM(F57:F60),"")</f>
        <v>2.5</v>
      </c>
    </row>
    <row r="62" spans="1:8" x14ac:dyDescent="0.25">
      <c r="B62" s="6" t="s">
        <v>59</v>
      </c>
      <c r="C62" s="13">
        <f>IF(COUNT(D57,E57,F57,E58,F58,F59)=6,C61*H57+D61*H58+E61*H59+F61*H60,"")</f>
        <v>4</v>
      </c>
    </row>
    <row r="63" spans="1:8" x14ac:dyDescent="0.25">
      <c r="B63" s="6" t="s">
        <v>60</v>
      </c>
      <c r="C63" s="13">
        <f>IF(COUNT(D57,E57,F57,E58,F58,F59)=6,(C62-4)/(4-1),"")</f>
        <v>0</v>
      </c>
    </row>
    <row r="64" spans="1:8" x14ac:dyDescent="0.25">
      <c r="B64" s="6" t="s">
        <v>61</v>
      </c>
      <c r="C64" s="21">
        <f>IF(COUNT(D57,E57,F57,E58,F58,F59)=6,C63/0.9,"")</f>
        <v>0</v>
      </c>
      <c r="D64" s="6" t="str">
        <f>IF(COUNT(D57,E57,F57,E58,F58,F59)=6,IF(C64&lt;=0.1,"согласовано","пересмотреть"),"ожидает сравнений")</f>
        <v>согласовано</v>
      </c>
    </row>
    <row r="68" spans="1:8" x14ac:dyDescent="0.25">
      <c r="A68" s="4" t="s">
        <v>62</v>
      </c>
    </row>
    <row r="69" spans="1:8" ht="30" x14ac:dyDescent="0.25">
      <c r="A69" s="9"/>
      <c r="B69" s="9" t="s">
        <v>21</v>
      </c>
      <c r="C69" s="5" t="str">
        <f>IF($H$6="","K1 (w=—)","K1 (w="&amp;ROUND($H$6,3)&amp;")")</f>
        <v>K1 (w=0,373)</v>
      </c>
      <c r="D69" s="5" t="str">
        <f>IF($H$7="","K2 (w=—)","K2 (w="&amp;ROUND($H$7,3)&amp;")")</f>
        <v>K2 (w=0,245)</v>
      </c>
      <c r="E69" s="5" t="str">
        <f>IF($H$8="","K3 (w=—)","K3 (w="&amp;ROUND($H$8,3)&amp;")")</f>
        <v>K3 (w=0,292)</v>
      </c>
      <c r="F69" s="5" t="str">
        <f>IF($H$9="","K4 (w=—)","K4 (w="&amp;ROUND($H$9,3)&amp;")")</f>
        <v>K4 (w=0,09)</v>
      </c>
      <c r="G69" s="5" t="s">
        <v>63</v>
      </c>
      <c r="H69" s="5" t="s">
        <v>53</v>
      </c>
    </row>
    <row r="70" spans="1:8" ht="42" customHeight="1" x14ac:dyDescent="0.25">
      <c r="A70" s="6" t="s">
        <v>23</v>
      </c>
      <c r="B70" s="30" t="str">
        <f>Концепции!$B$4</f>
        <v>Система управления командными задачами и рабочими процессами</v>
      </c>
      <c r="C70" s="13">
        <f>IF(H18="","",H18)</f>
        <v>0.14533104539091343</v>
      </c>
      <c r="D70" s="13">
        <f>IF(H31="","",H31)</f>
        <v>0.16442500784622124</v>
      </c>
      <c r="E70" s="13">
        <f>IF(H44="","",H44)</f>
        <v>0.22735050780241753</v>
      </c>
      <c r="F70" s="13">
        <f>IF(H57="","",H57)</f>
        <v>0.2</v>
      </c>
      <c r="G70" s="20">
        <f>IF(COUNT(C70:F70)=4,C70*$H$6+D70*$H$7+E70*$H$8+F70*$H$9,"")</f>
        <v>0.17887856182528675</v>
      </c>
      <c r="H70" s="17">
        <f>IF(G70="","",RANK(G70,$G$70:$G$73))</f>
        <v>4</v>
      </c>
    </row>
    <row r="71" spans="1:8" ht="42" customHeight="1" x14ac:dyDescent="0.25">
      <c r="A71" s="6" t="s">
        <v>24</v>
      </c>
      <c r="B71" s="30" t="str">
        <f>Концепции!$B$5</f>
        <v>Система персонального и семейного финансового учёта</v>
      </c>
      <c r="C71" s="13">
        <f>IF(H19="","",H19)</f>
        <v>0.42334216026547206</v>
      </c>
      <c r="D71" s="13">
        <f>IF(H32="","",H32)</f>
        <v>0.44572429960022986</v>
      </c>
      <c r="E71" s="13">
        <f>IF(H45="","",H45)</f>
        <v>0.12215200983464573</v>
      </c>
      <c r="F71" s="13">
        <f>IF(H58="","",H58)</f>
        <v>0.2</v>
      </c>
      <c r="G71" s="20">
        <f>IF(COUNT(C71:F71)=4,C71*$H$6+D71*$H$7+E71*$H$8+F71*$H$9,"")</f>
        <v>0.32078986938447679</v>
      </c>
      <c r="H71" s="17">
        <f>IF(G71="","",RANK(G71,$G$70:$G$73))</f>
        <v>1</v>
      </c>
    </row>
    <row r="72" spans="1:8" ht="42" customHeight="1" x14ac:dyDescent="0.25">
      <c r="A72" s="6" t="s">
        <v>25</v>
      </c>
      <c r="B72" s="30" t="str">
        <f>Концепции!$B$6</f>
        <v>Система онлайн-бронирования услуг и управления записями</v>
      </c>
      <c r="C72" s="13">
        <f>IF(H20="","",H20)</f>
        <v>0.27049155403834368</v>
      </c>
      <c r="D72" s="13">
        <f>IF(H33="","",H33)</f>
        <v>0.2847924676245665</v>
      </c>
      <c r="E72" s="13">
        <f>IF(H46="","",H46)</f>
        <v>0.22735050780241753</v>
      </c>
      <c r="F72" s="13">
        <f>IF(H59="","",H59)</f>
        <v>0.2</v>
      </c>
      <c r="G72" s="20">
        <f>IF(COUNT(C72:F72)=4,C72*$H$6+D72*$H$7+E72*$H$8+F72*$H$9,"")</f>
        <v>0.25504031549573897</v>
      </c>
      <c r="H72" s="17">
        <f>IF(G72="","",RANK(G72,$G$70:$G$73))</f>
        <v>2</v>
      </c>
    </row>
    <row r="73" spans="1:8" ht="42" customHeight="1" x14ac:dyDescent="0.25">
      <c r="A73" s="6" t="s">
        <v>26</v>
      </c>
      <c r="B73" s="30" t="str">
        <f>Концепции!$B$7</f>
        <v>Система планирования тренировок и отслеживания физической активности</v>
      </c>
      <c r="C73" s="13">
        <f>IF(H21="","",H21)</f>
        <v>0.16083524030527069</v>
      </c>
      <c r="D73" s="13">
        <f>IF(H34="","",H34)</f>
        <v>0.1050582249289823</v>
      </c>
      <c r="E73" s="13">
        <f>IF(H47="","",H47)</f>
        <v>0.42314697456051914</v>
      </c>
      <c r="F73" s="13">
        <f>IF(H60="","",H60)</f>
        <v>0.4</v>
      </c>
      <c r="G73" s="20">
        <f>IF(COUNT(C73:F73)=4,C73*$H$6+D73*$H$7+E73*$H$8+F73*$H$9,"")</f>
        <v>0.2452912532944973</v>
      </c>
      <c r="H73" s="17">
        <f>IF(G73="","",RANK(G73,$G$70:$G$73))</f>
        <v>3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abSelected="1" workbookViewId="0"/>
  </sheetViews>
  <sheetFormatPr defaultRowHeight="15" x14ac:dyDescent="0.25"/>
  <cols>
    <col min="2" max="2" width="55" customWidth="1"/>
    <col min="3" max="7" width="16" customWidth="1"/>
  </cols>
  <sheetData>
    <row r="1" spans="1:7" ht="16.5" x14ac:dyDescent="0.25">
      <c r="A1" s="1" t="s">
        <v>64</v>
      </c>
    </row>
    <row r="3" spans="1:7" ht="30" x14ac:dyDescent="0.25">
      <c r="A3" s="5" t="s">
        <v>20</v>
      </c>
      <c r="B3" s="5" t="s">
        <v>21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69</v>
      </c>
    </row>
    <row r="4" spans="1:7" ht="33.950000000000003" customHeight="1" x14ac:dyDescent="0.25">
      <c r="A4" s="6" t="s">
        <v>23</v>
      </c>
      <c r="B4" s="30" t="str">
        <f>Концепции!$B$4</f>
        <v>Система управления командными задачами и рабочими процессами</v>
      </c>
      <c r="C4" s="23">
        <f>TOPSIS!M35</f>
        <v>0.46027018255191093</v>
      </c>
      <c r="D4" s="24">
        <f>TOPSIS!N35</f>
        <v>3</v>
      </c>
      <c r="E4" s="25">
        <f>IF(МАИ!G70="","",МАИ!G70)</f>
        <v>0.17887856182528675</v>
      </c>
      <c r="F4" s="24">
        <f>IF(МАИ!H70="","",МАИ!H70)</f>
        <v>4</v>
      </c>
      <c r="G4" s="17">
        <f>IF(COUNT(D4,F4)=2,D4+F4,"")</f>
        <v>7</v>
      </c>
    </row>
    <row r="5" spans="1:7" ht="33.950000000000003" customHeight="1" x14ac:dyDescent="0.25">
      <c r="A5" s="6" t="s">
        <v>24</v>
      </c>
      <c r="B5" s="30" t="str">
        <f>Концепции!$B$5</f>
        <v>Система персонального и семейного финансового учёта</v>
      </c>
      <c r="C5" s="23">
        <f>TOPSIS!M36</f>
        <v>0.45136962844591932</v>
      </c>
      <c r="D5" s="24">
        <f>TOPSIS!N36</f>
        <v>4</v>
      </c>
      <c r="E5" s="25">
        <f>IF(МАИ!G71="","",МАИ!G71)</f>
        <v>0.32078986938447679</v>
      </c>
      <c r="F5" s="24">
        <f>IF(МАИ!H71="","",МАИ!H71)</f>
        <v>1</v>
      </c>
      <c r="G5" s="17">
        <f>IF(COUNT(D5,F5)=2,D5+F5,"")</f>
        <v>5</v>
      </c>
    </row>
    <row r="6" spans="1:7" ht="33.950000000000003" customHeight="1" x14ac:dyDescent="0.25">
      <c r="A6" s="6" t="s">
        <v>25</v>
      </c>
      <c r="B6" s="30" t="str">
        <f>Концепции!$B$6</f>
        <v>Система онлайн-бронирования услуг и управления записями</v>
      </c>
      <c r="C6" s="23">
        <f>TOPSIS!M37</f>
        <v>0.5087905092239412</v>
      </c>
      <c r="D6" s="24">
        <f>TOPSIS!N37</f>
        <v>1</v>
      </c>
      <c r="E6" s="25">
        <f>IF(МАИ!G72="","",МАИ!G72)</f>
        <v>0.25504031549573897</v>
      </c>
      <c r="F6" s="24">
        <f>IF(МАИ!H72="","",МАИ!H72)</f>
        <v>2</v>
      </c>
      <c r="G6" s="17">
        <f>IF(COUNT(D6,F6)=2,D6+F6,"")</f>
        <v>3</v>
      </c>
    </row>
    <row r="7" spans="1:7" ht="33.950000000000003" customHeight="1" x14ac:dyDescent="0.25">
      <c r="A7" s="6" t="s">
        <v>26</v>
      </c>
      <c r="B7" s="30" t="str">
        <f>Концепции!$B$7</f>
        <v>Система планирования тренировок и отслеживания физической активности</v>
      </c>
      <c r="C7" s="23">
        <f>TOPSIS!M38</f>
        <v>0.47337326228810728</v>
      </c>
      <c r="D7" s="24">
        <f>TOPSIS!N38</f>
        <v>2</v>
      </c>
      <c r="E7" s="25">
        <f>IF(МАИ!G73="","",МАИ!G73)</f>
        <v>0.2452912532944973</v>
      </c>
      <c r="F7" s="24">
        <f>IF(МАИ!H73="","",МАИ!H73)</f>
        <v>3</v>
      </c>
      <c r="G7" s="17">
        <f>IF(COUNT(D7,F7)=2,D7+F7,"")</f>
        <v>5</v>
      </c>
    </row>
    <row r="10" spans="1:7" ht="42" customHeight="1" x14ac:dyDescent="0.25">
      <c r="B10" s="6" t="s">
        <v>70</v>
      </c>
      <c r="C10" s="41" t="str">
        <f>INDEX($B$4:$B$7,MATCH(MAX($C$4:$C$7),$C$4:$C$7,0))</f>
        <v>Система онлайн-бронирования услуг и управления записями</v>
      </c>
      <c r="D10" s="40"/>
      <c r="E10" s="34"/>
    </row>
    <row r="11" spans="1:7" ht="42" customHeight="1" x14ac:dyDescent="0.25">
      <c r="B11" s="6" t="s">
        <v>71</v>
      </c>
      <c r="C11" s="41" t="str">
        <f>IF(COUNT($E$4:$E$7)=4,INDEX($B$4:$B$7,MATCH(MAX($E$4:$E$7),$E$4:$E$7,0)),"ожидает МАИ")</f>
        <v>Система персонального и семейного финансового учёта</v>
      </c>
      <c r="D11" s="40"/>
      <c r="E11" s="34"/>
    </row>
    <row r="12" spans="1:7" x14ac:dyDescent="0.25">
      <c r="B12" s="6" t="s">
        <v>72</v>
      </c>
      <c r="C12" s="39" t="str">
        <f>IF(COUNT($E$4:$E$7)=4,IF(C10=C11,"да — выбрана "&amp;C10,"нет — нужно обсуждение"),"ожидает МАИ")</f>
        <v>нет — нужно обсуждение</v>
      </c>
      <c r="D12" s="40"/>
      <c r="E12" s="34"/>
    </row>
    <row r="14" spans="1:7" ht="42" customHeight="1" x14ac:dyDescent="0.25">
      <c r="B14" s="6" t="s">
        <v>114</v>
      </c>
      <c r="C14" s="41" t="str">
        <f>IF(COUNT(G4:G7)=4,INDEX(B4:B7,MATCH(MIN(G4:G7),G4:G7,0)),"ожидает МАИ")</f>
        <v>Система онлайн-бронирования услуг и управления записями</v>
      </c>
      <c r="D14" s="36"/>
      <c r="E14" s="36"/>
    </row>
  </sheetData>
  <mergeCells count="4">
    <mergeCell ref="C12:E12"/>
    <mergeCell ref="C11:E11"/>
    <mergeCell ref="C10:E10"/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Концепции</vt:lpstr>
      <vt:lpstr>Оценки</vt:lpstr>
      <vt:lpstr>TOPSIS</vt:lpstr>
      <vt:lpstr>МАИ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SIBIRKO</cp:lastModifiedBy>
  <dcterms:modified xsi:type="dcterms:W3CDTF">2026-10-20T14:01:57Z</dcterms:modified>
</cp:coreProperties>
</file>